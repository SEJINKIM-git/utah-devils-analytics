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기록 방법" sheetId="1" state="visible" r:id="rId3"/>
    <sheet name="경기 정보" sheetId="2" state="visible" r:id="rId4"/>
    <sheet name="타자 기록" sheetId="3" state="visible" r:id="rId5"/>
    <sheet name="투수 기록" sheetId="4" state="visible" r:id="rId6"/>
    <sheet name="주요 기록" sheetId="5" state="visible" r:id="rId7"/>
    <sheet name="검수" sheetId="6" state="visible" r:id="rId8"/>
    <sheet name="경기 요약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<sst xmlns="http://schemas.openxmlformats.org/spreadsheetml/2006/main" count="394" uniqueCount="287">
  <si>
    <r>
      <rPr>
        <b val="true"/>
        <sz val="11"/>
        <color rgb="FF141B3D"/>
        <rFont val="Noto Sans KR"/>
        <family val="0"/>
        <charset val="1"/>
      </rPr>
      <t xml:space="preserve">Utah Devils </t>
    </r>
    <r>
      <rPr>
        <b val="true"/>
        <sz val="11"/>
        <color rgb="FF141B3D"/>
        <rFont val="Noto Sans CJK SC"/>
        <family val="2"/>
      </rPr>
      <t xml:space="preserve">경기 기록 </t>
    </r>
    <r>
      <rPr>
        <b val="true"/>
        <sz val="11"/>
        <color rgb="FF141B3D"/>
        <rFont val="Noto Sans KR"/>
        <family val="0"/>
        <charset val="1"/>
      </rPr>
      <t xml:space="preserve">v3.0</t>
    </r>
  </si>
  <si>
    <r>
      <rPr>
        <sz val="11"/>
        <color rgb="FF64748B"/>
        <rFont val="Noto Sans CJK SC"/>
        <family val="2"/>
      </rPr>
      <t xml:space="preserve">노란 칸</t>
    </r>
    <r>
      <rPr>
        <sz val="11"/>
        <color rgb="FF64748B"/>
        <rFont val="Noto Sans KR"/>
        <family val="0"/>
        <charset val="1"/>
      </rPr>
      <t xml:space="preserve">·</t>
    </r>
    <r>
      <rPr>
        <sz val="11"/>
        <color rgb="FF64748B"/>
        <rFont val="Noto Sans CJK SC"/>
        <family val="2"/>
      </rPr>
      <t xml:space="preserve">파란 글씨</t>
    </r>
    <r>
      <rPr>
        <sz val="11"/>
        <color rgb="FF64748B"/>
        <rFont val="Noto Sans KR"/>
        <family val="0"/>
        <charset val="1"/>
      </rPr>
      <t xml:space="preserve">: </t>
    </r>
    <r>
      <rPr>
        <sz val="11"/>
        <color rgb="FF64748B"/>
        <rFont val="Noto Sans CJK SC"/>
        <family val="2"/>
      </rPr>
      <t xml:space="preserve">입력 </t>
    </r>
    <r>
      <rPr>
        <sz val="11"/>
        <color rgb="FF64748B"/>
        <rFont val="Noto Sans KR"/>
        <family val="0"/>
        <charset val="1"/>
      </rPr>
      <t xml:space="preserve">/ </t>
    </r>
    <r>
      <rPr>
        <sz val="11"/>
        <color rgb="FF64748B"/>
        <rFont val="Noto Sans CJK SC"/>
        <family val="2"/>
      </rPr>
      <t xml:space="preserve">회색</t>
    </r>
    <r>
      <rPr>
        <sz val="11"/>
        <color rgb="FF64748B"/>
        <rFont val="Noto Sans KR"/>
        <family val="0"/>
        <charset val="1"/>
      </rPr>
      <t xml:space="preserve">·</t>
    </r>
    <r>
      <rPr>
        <sz val="11"/>
        <color rgb="FF64748B"/>
        <rFont val="Noto Sans CJK SC"/>
        <family val="2"/>
      </rPr>
      <t xml:space="preserve">검정 글씨</t>
    </r>
    <r>
      <rPr>
        <sz val="11"/>
        <color rgb="FF64748B"/>
        <rFont val="Noto Sans KR"/>
        <family val="0"/>
        <charset val="1"/>
      </rPr>
      <t xml:space="preserve">: </t>
    </r>
    <r>
      <rPr>
        <sz val="11"/>
        <color rgb="FF64748B"/>
        <rFont val="Noto Sans CJK SC"/>
        <family val="2"/>
      </rPr>
      <t xml:space="preserve">계산 </t>
    </r>
    <r>
      <rPr>
        <sz val="11"/>
        <color rgb="FF64748B"/>
        <rFont val="Noto Sans KR"/>
        <family val="0"/>
        <charset val="1"/>
      </rPr>
      <t xml:space="preserve">/ </t>
    </r>
    <r>
      <rPr>
        <sz val="11"/>
        <color rgb="FF64748B"/>
        <rFont val="Noto Sans CJK SC"/>
        <family val="2"/>
      </rPr>
      <t xml:space="preserve">초록 글씨</t>
    </r>
    <r>
      <rPr>
        <sz val="11"/>
        <color rgb="FF64748B"/>
        <rFont val="Noto Sans KR"/>
        <family val="0"/>
        <charset val="1"/>
      </rPr>
      <t xml:space="preserve">: </t>
    </r>
    <r>
      <rPr>
        <sz val="11"/>
        <color rgb="FF64748B"/>
        <rFont val="Noto Sans CJK SC"/>
        <family val="2"/>
      </rPr>
      <t xml:space="preserve">다른 시트 참조</t>
    </r>
  </si>
  <si>
    <r>
      <rPr>
        <b val="true"/>
        <sz val="11"/>
        <color rgb="FF141B3D"/>
        <rFont val="Noto Sans KR"/>
        <family val="0"/>
        <charset val="1"/>
      </rPr>
      <t xml:space="preserve">1. </t>
    </r>
    <r>
      <rPr>
        <b val="true"/>
        <sz val="11"/>
        <color rgb="FF141B3D"/>
        <rFont val="Noto Sans CJK SC"/>
        <family val="2"/>
      </rPr>
      <t xml:space="preserve">작성 순서</t>
    </r>
  </si>
  <si>
    <r>
      <rPr>
        <sz val="11"/>
        <color theme="1"/>
        <rFont val="Noto Sans KR"/>
        <family val="0"/>
        <charset val="1"/>
      </rPr>
      <t xml:space="preserve">1. </t>
    </r>
    <r>
      <rPr>
        <sz val="11"/>
        <color theme="1"/>
        <rFont val="Noto Sans CJK SC"/>
        <family val="2"/>
      </rPr>
      <t xml:space="preserve">경기 정보 입력 → 타자</t>
    </r>
    <r>
      <rPr>
        <sz val="11"/>
        <color theme="1"/>
        <rFont val="Noto Sans KR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투수 기록 입력 → 주요 기록 메모</t>
    </r>
  </si>
  <si>
    <r>
      <rPr>
        <sz val="11"/>
        <color theme="1"/>
        <rFont val="Noto Sans KR"/>
        <family val="0"/>
        <charset val="1"/>
      </rPr>
      <t xml:space="preserve">2. 7–12</t>
    </r>
    <r>
      <rPr>
        <sz val="11"/>
        <color theme="1"/>
        <rFont val="Noto Sans CJK SC"/>
        <family val="2"/>
      </rPr>
      <t xml:space="preserve">타석은 타자 기록 </t>
    </r>
    <r>
      <rPr>
        <sz val="11"/>
        <color theme="1"/>
        <rFont val="Noto Sans KR"/>
        <family val="0"/>
        <charset val="1"/>
      </rPr>
      <t xml:space="preserve">V:AA</t>
    </r>
    <r>
      <rPr>
        <sz val="11"/>
        <color theme="1"/>
        <rFont val="Noto Sans CJK SC"/>
        <family val="2"/>
      </rPr>
      <t xml:space="preserve">열에 추가 입력</t>
    </r>
  </si>
  <si>
    <r>
      <rPr>
        <sz val="11"/>
        <color theme="1"/>
        <rFont val="Noto Sans KR"/>
        <family val="0"/>
        <charset val="1"/>
      </rPr>
      <t xml:space="preserve">3. </t>
    </r>
    <r>
      <rPr>
        <sz val="11"/>
        <color theme="1"/>
        <rFont val="Noto Sans CJK SC"/>
        <family val="2"/>
      </rPr>
      <t xml:space="preserve">경기 요약에서 팀 지표와 리뷰 확인</t>
    </r>
  </si>
  <si>
    <r>
      <rPr>
        <sz val="11"/>
        <color theme="1"/>
        <rFont val="Noto Sans KR"/>
        <family val="0"/>
        <charset val="1"/>
      </rPr>
      <t xml:space="preserve">4. </t>
    </r>
    <r>
      <rPr>
        <sz val="11"/>
        <color theme="1"/>
        <rFont val="Noto Sans CJK SC"/>
        <family val="2"/>
      </rPr>
      <t xml:space="preserve">검수에서 점수</t>
    </r>
    <r>
      <rPr>
        <sz val="11"/>
        <color theme="1"/>
        <rFont val="Noto Sans KR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아웃 대조</t>
    </r>
    <r>
      <rPr>
        <sz val="11"/>
        <color theme="1"/>
        <rFont val="Noto Sans KR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입력 누락</t>
    </r>
    <r>
      <rPr>
        <sz val="11"/>
        <color theme="1"/>
        <rFont val="Noto Sans KR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판정 확인</t>
    </r>
  </si>
  <si>
    <r>
      <rPr>
        <sz val="11"/>
        <color theme="1"/>
        <rFont val="Noto Sans KR"/>
        <family val="0"/>
        <charset val="1"/>
      </rPr>
      <t xml:space="preserve">5. </t>
    </r>
    <r>
      <rPr>
        <sz val="11"/>
        <color theme="1"/>
        <rFont val="Noto Sans CJK SC"/>
        <family val="2"/>
      </rPr>
      <t xml:space="preserve">경기 정보에 검수자</t>
    </r>
    <r>
      <rPr>
        <sz val="11"/>
        <color theme="1"/>
        <rFont val="Noto Sans KR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완료일 입력 후 </t>
    </r>
    <r>
      <rPr>
        <sz val="11"/>
        <color theme="1"/>
        <rFont val="Noto Sans KR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일 이내 시스템 입력</t>
    </r>
  </si>
  <si>
    <r>
      <rPr>
        <b val="true"/>
        <sz val="11"/>
        <color rgb="FF141B3D"/>
        <rFont val="Noto Sans KR"/>
        <family val="0"/>
        <charset val="1"/>
      </rPr>
      <t xml:space="preserve">2. </t>
    </r>
    <r>
      <rPr>
        <b val="true"/>
        <sz val="11"/>
        <color rgb="FF141B3D"/>
        <rFont val="Noto Sans CJK SC"/>
        <family val="2"/>
      </rPr>
      <t xml:space="preserve">결과 표기 </t>
    </r>
    <r>
      <rPr>
        <b val="true"/>
        <sz val="11"/>
        <color rgb="FF141B3D"/>
        <rFont val="Noto Sans KR"/>
        <family val="0"/>
        <charset val="1"/>
      </rPr>
      <t xml:space="preserve">(</t>
    </r>
    <r>
      <rPr>
        <b val="true"/>
        <sz val="11"/>
        <color rgb="FF141B3D"/>
        <rFont val="Noto Sans CJK SC"/>
        <family val="2"/>
      </rPr>
      <t xml:space="preserve">기존 </t>
    </r>
    <r>
      <rPr>
        <b val="true"/>
        <sz val="11"/>
        <color rgb="FF141B3D"/>
        <rFont val="Noto Sans KR"/>
        <family val="0"/>
        <charset val="1"/>
      </rPr>
      <t xml:space="preserve">16</t>
    </r>
    <r>
      <rPr>
        <b val="true"/>
        <sz val="11"/>
        <color rgb="FF141B3D"/>
        <rFont val="Noto Sans CJK SC"/>
        <family val="2"/>
      </rPr>
      <t xml:space="preserve">개 </t>
    </r>
    <r>
      <rPr>
        <b val="true"/>
        <sz val="11"/>
        <color rgb="FF141B3D"/>
        <rFont val="Noto Sans KR"/>
        <family val="0"/>
        <charset val="1"/>
      </rPr>
      <t xml:space="preserve">+ </t>
    </r>
    <r>
      <rPr>
        <b val="true"/>
        <sz val="11"/>
        <color rgb="FF141B3D"/>
        <rFont val="Noto Sans CJK SC"/>
        <family val="2"/>
      </rPr>
      <t xml:space="preserve">추가 </t>
    </r>
    <r>
      <rPr>
        <b val="true"/>
        <sz val="11"/>
        <color rgb="FF141B3D"/>
        <rFont val="Noto Sans KR"/>
        <family val="0"/>
        <charset val="1"/>
      </rPr>
      <t xml:space="preserve">2</t>
    </r>
    <r>
      <rPr>
        <b val="true"/>
        <sz val="11"/>
        <color rgb="FF141B3D"/>
        <rFont val="Noto Sans CJK SC"/>
        <family val="2"/>
      </rPr>
      <t xml:space="preserve">개</t>
    </r>
    <r>
      <rPr>
        <b val="true"/>
        <sz val="11"/>
        <color rgb="FF141B3D"/>
        <rFont val="Noto Sans KR"/>
        <family val="0"/>
        <charset val="1"/>
      </rPr>
      <t xml:space="preserve">)</t>
    </r>
  </si>
  <si>
    <t xml:space="preserve">표기</t>
  </si>
  <si>
    <t xml:space="preserve">의미</t>
  </si>
  <si>
    <t xml:space="preserve">타수 포함</t>
  </si>
  <si>
    <t xml:space="preserve">규칙</t>
  </si>
  <si>
    <t xml:space="preserve">안타</t>
  </si>
  <si>
    <r>
      <rPr>
        <sz val="11"/>
        <color theme="1"/>
        <rFont val="Noto Sans KR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루타 </t>
    </r>
    <r>
      <rPr>
        <sz val="11"/>
        <color theme="1"/>
        <rFont val="Noto Sans KR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단타</t>
    </r>
    <r>
      <rPr>
        <sz val="11"/>
        <color theme="1"/>
        <rFont val="Noto Sans KR"/>
        <family val="0"/>
        <charset val="1"/>
      </rPr>
      <t xml:space="preserve">)</t>
    </r>
  </si>
  <si>
    <t xml:space="preserve">포함</t>
  </si>
  <si>
    <r>
      <rPr>
        <sz val="11"/>
        <color rgb="FF64748B"/>
        <rFont val="Noto Sans CJK SC"/>
        <family val="2"/>
      </rPr>
      <t xml:space="preserve">한 타석 </t>
    </r>
    <r>
      <rPr>
        <sz val="11"/>
        <color rgb="FF64748B"/>
        <rFont val="Noto Sans KR"/>
        <family val="0"/>
        <charset val="1"/>
      </rPr>
      <t xml:space="preserve">= </t>
    </r>
    <r>
      <rPr>
        <sz val="11"/>
        <color rgb="FF64748B"/>
        <rFont val="Noto Sans CJK SC"/>
        <family val="2"/>
      </rPr>
      <t xml:space="preserve">한 칸</t>
    </r>
    <r>
      <rPr>
        <sz val="11"/>
        <color rgb="FF64748B"/>
        <rFont val="Noto Sans KR"/>
        <family val="0"/>
        <charset val="1"/>
      </rPr>
      <t xml:space="preserve">, </t>
    </r>
    <r>
      <rPr>
        <sz val="11"/>
        <color rgb="FF64748B"/>
        <rFont val="Noto Sans CJK SC"/>
        <family val="2"/>
      </rPr>
      <t xml:space="preserve">한 칸 </t>
    </r>
    <r>
      <rPr>
        <sz val="11"/>
        <color rgb="FF64748B"/>
        <rFont val="Noto Sans KR"/>
        <family val="0"/>
        <charset val="1"/>
      </rPr>
      <t xml:space="preserve">= </t>
    </r>
    <r>
      <rPr>
        <sz val="11"/>
        <color rgb="FF64748B"/>
        <rFont val="Noto Sans CJK SC"/>
        <family val="2"/>
      </rPr>
      <t xml:space="preserve">표기 </t>
    </r>
    <r>
      <rPr>
        <sz val="11"/>
        <color rgb="FF64748B"/>
        <rFont val="Noto Sans KR"/>
        <family val="0"/>
        <charset val="1"/>
      </rPr>
      <t xml:space="preserve">1</t>
    </r>
    <r>
      <rPr>
        <sz val="11"/>
        <color rgb="FF64748B"/>
        <rFont val="Noto Sans CJK SC"/>
        <family val="2"/>
      </rPr>
      <t xml:space="preserve">개</t>
    </r>
    <r>
      <rPr>
        <sz val="11"/>
        <color rgb="FF64748B"/>
        <rFont val="Noto Sans KR"/>
        <family val="0"/>
        <charset val="1"/>
      </rPr>
      <t xml:space="preserve">.</t>
    </r>
  </si>
  <si>
    <r>
      <rPr>
        <b val="true"/>
        <sz val="11"/>
        <color rgb="FFDC2626"/>
        <rFont val="Noto Sans KR"/>
        <family val="0"/>
        <charset val="1"/>
      </rPr>
      <t xml:space="preserve">2</t>
    </r>
    <r>
      <rPr>
        <b val="true"/>
        <sz val="11"/>
        <color rgb="FFDC2626"/>
        <rFont val="Noto Sans CJK SC"/>
        <family val="2"/>
      </rPr>
      <t xml:space="preserve">루타</t>
    </r>
  </si>
  <si>
    <r>
      <rPr>
        <sz val="11"/>
        <color theme="1"/>
        <rFont val="Noto Sans KR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루타</t>
    </r>
  </si>
  <si>
    <r>
      <rPr>
        <sz val="11"/>
        <color rgb="FF64748B"/>
        <rFont val="Noto Sans KR"/>
        <family val="0"/>
        <charset val="1"/>
      </rPr>
      <t xml:space="preserve">"</t>
    </r>
    <r>
      <rPr>
        <sz val="11"/>
        <color rgb="FF64748B"/>
        <rFont val="Noto Sans CJK SC"/>
        <family val="2"/>
      </rPr>
      <t xml:space="preserve">중전 안타</t>
    </r>
    <r>
      <rPr>
        <sz val="11"/>
        <color rgb="FF64748B"/>
        <rFont val="Noto Sans KR"/>
        <family val="0"/>
        <charset val="1"/>
      </rPr>
      <t xml:space="preserve">", "</t>
    </r>
    <r>
      <rPr>
        <sz val="11"/>
        <color rgb="FF64748B"/>
        <rFont val="Noto Sans CJK SC"/>
        <family val="2"/>
      </rPr>
      <t xml:space="preserve">우익수 앞</t>
    </r>
    <r>
      <rPr>
        <sz val="11"/>
        <color rgb="FF64748B"/>
        <rFont val="Noto Sans KR"/>
        <family val="0"/>
        <charset val="1"/>
      </rPr>
      <t xml:space="preserve">" </t>
    </r>
    <r>
      <rPr>
        <sz val="11"/>
        <color rgb="FF64748B"/>
        <rFont val="Noto Sans CJK SC"/>
        <family val="2"/>
      </rPr>
      <t xml:space="preserve">처럼 방향을</t>
    </r>
  </si>
  <si>
    <r>
      <rPr>
        <b val="true"/>
        <sz val="11"/>
        <color rgb="FFDC2626"/>
        <rFont val="Noto Sans KR"/>
        <family val="0"/>
        <charset val="1"/>
      </rPr>
      <t xml:space="preserve">3</t>
    </r>
    <r>
      <rPr>
        <b val="true"/>
        <sz val="11"/>
        <color rgb="FFDC2626"/>
        <rFont val="Noto Sans CJK SC"/>
        <family val="2"/>
      </rPr>
      <t xml:space="preserve">루타</t>
    </r>
  </si>
  <si>
    <r>
      <rPr>
        <sz val="11"/>
        <color theme="1"/>
        <rFont val="Noto Sans KR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루타</t>
    </r>
  </si>
  <si>
    <r>
      <rPr>
        <sz val="11"/>
        <color rgb="FF64748B"/>
        <rFont val="Noto Sans CJK SC"/>
        <family val="2"/>
      </rPr>
      <t xml:space="preserve">덧붙이지 않는다</t>
    </r>
    <r>
      <rPr>
        <sz val="11"/>
        <color rgb="FF64748B"/>
        <rFont val="Noto Sans KR"/>
        <family val="0"/>
        <charset val="1"/>
      </rPr>
      <t xml:space="preserve">. </t>
    </r>
    <r>
      <rPr>
        <sz val="11"/>
        <color rgb="FF64748B"/>
        <rFont val="Noto Sans CJK SC"/>
        <family val="2"/>
      </rPr>
      <t xml:space="preserve">목록의 표기 그대로만</t>
    </r>
    <r>
      <rPr>
        <sz val="11"/>
        <color rgb="FF64748B"/>
        <rFont val="Noto Sans KR"/>
        <family val="0"/>
        <charset val="1"/>
      </rPr>
      <t xml:space="preserve">.</t>
    </r>
  </si>
  <si>
    <t xml:space="preserve">홈런</t>
  </si>
  <si>
    <r>
      <rPr>
        <sz val="11"/>
        <color rgb="FF64748B"/>
        <rFont val="Noto Sans CJK SC"/>
        <family val="2"/>
      </rPr>
      <t xml:space="preserve">타점</t>
    </r>
    <r>
      <rPr>
        <sz val="11"/>
        <color rgb="FF64748B"/>
        <rFont val="Noto Sans KR"/>
        <family val="0"/>
        <charset val="1"/>
      </rPr>
      <t xml:space="preserve">·</t>
    </r>
    <r>
      <rPr>
        <sz val="11"/>
        <color rgb="FF64748B"/>
        <rFont val="Noto Sans CJK SC"/>
        <family val="2"/>
      </rPr>
      <t xml:space="preserve">득점</t>
    </r>
    <r>
      <rPr>
        <sz val="11"/>
        <color rgb="FF64748B"/>
        <rFont val="Noto Sans KR"/>
        <family val="0"/>
        <charset val="1"/>
      </rPr>
      <t xml:space="preserve">·</t>
    </r>
    <r>
      <rPr>
        <sz val="11"/>
        <color rgb="FF64748B"/>
        <rFont val="Noto Sans CJK SC"/>
        <family val="2"/>
      </rPr>
      <t xml:space="preserve">도루는 표기에 붙이지 않고</t>
    </r>
  </si>
  <si>
    <t xml:space="preserve">삼진</t>
  </si>
  <si>
    <t xml:space="preserve">헛스윙 삼진</t>
  </si>
  <si>
    <r>
      <rPr>
        <sz val="11"/>
        <color rgb="FF64748B"/>
        <rFont val="Noto Sans CJK SC"/>
        <family val="2"/>
      </rPr>
      <t xml:space="preserve">오른쪽 전용 칸에 경기 합계로 적는다</t>
    </r>
    <r>
      <rPr>
        <sz val="11"/>
        <color rgb="FF64748B"/>
        <rFont val="Noto Sans KR"/>
        <family val="0"/>
        <charset val="1"/>
      </rPr>
      <t xml:space="preserve">.</t>
    </r>
  </si>
  <si>
    <t xml:space="preserve">루킹삼진</t>
  </si>
  <si>
    <r>
      <rPr>
        <sz val="11"/>
        <color theme="1"/>
        <rFont val="Noto Sans CJK SC"/>
        <family val="2"/>
      </rPr>
      <t xml:space="preserve">루킹 삼진 </t>
    </r>
    <r>
      <rPr>
        <sz val="11"/>
        <color theme="1"/>
        <rFont val="Noto Sans KR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스탠딩</t>
    </r>
    <r>
      <rPr>
        <sz val="11"/>
        <color theme="1"/>
        <rFont val="Noto Sans KR"/>
        <family val="0"/>
        <charset val="1"/>
      </rPr>
      <t xml:space="preserve">)</t>
    </r>
  </si>
  <si>
    <r>
      <rPr>
        <sz val="11"/>
        <color rgb="FF64748B"/>
        <rFont val="Noto Sans CJK SC"/>
        <family val="2"/>
      </rPr>
      <t xml:space="preserve">타구 방향</t>
    </r>
    <r>
      <rPr>
        <sz val="11"/>
        <color rgb="FF64748B"/>
        <rFont val="Noto Sans KR"/>
        <family val="0"/>
        <charset val="1"/>
      </rPr>
      <t xml:space="preserve">·</t>
    </r>
    <r>
      <rPr>
        <sz val="11"/>
        <color rgb="FF64748B"/>
        <rFont val="Noto Sans CJK SC"/>
        <family val="2"/>
      </rPr>
      <t xml:space="preserve">메모는 </t>
    </r>
    <r>
      <rPr>
        <sz val="11"/>
        <color rgb="FF64748B"/>
        <rFont val="Noto Sans KR"/>
        <family val="0"/>
        <charset val="1"/>
      </rPr>
      <t xml:space="preserve">[</t>
    </r>
    <r>
      <rPr>
        <sz val="11"/>
        <color rgb="FF64748B"/>
        <rFont val="Noto Sans CJK SC"/>
        <family val="2"/>
      </rPr>
      <t xml:space="preserve">주요 기록</t>
    </r>
    <r>
      <rPr>
        <sz val="11"/>
        <color rgb="FF64748B"/>
        <rFont val="Noto Sans KR"/>
        <family val="0"/>
        <charset val="1"/>
      </rPr>
      <t xml:space="preserve">]</t>
    </r>
    <r>
      <rPr>
        <sz val="11"/>
        <color rgb="FF64748B"/>
        <rFont val="Noto Sans CJK SC"/>
        <family val="2"/>
      </rPr>
      <t xml:space="preserve">에만 적는다</t>
    </r>
    <r>
      <rPr>
        <sz val="11"/>
        <color rgb="FF64748B"/>
        <rFont val="Noto Sans KR"/>
        <family val="0"/>
        <charset val="1"/>
      </rPr>
      <t xml:space="preserve">.</t>
    </r>
  </si>
  <si>
    <t xml:space="preserve">땅볼</t>
  </si>
  <si>
    <t xml:space="preserve">땅볼 아웃</t>
  </si>
  <si>
    <r>
      <rPr>
        <sz val="11"/>
        <color rgb="FF64748B"/>
        <rFont val="Noto Sans CJK SC"/>
        <family val="2"/>
      </rPr>
      <t xml:space="preserve">노란 칸 </t>
    </r>
    <r>
      <rPr>
        <sz val="11"/>
        <color rgb="FF64748B"/>
        <rFont val="Noto Sans KR"/>
        <family val="0"/>
        <charset val="1"/>
      </rPr>
      <t xml:space="preserve">= </t>
    </r>
    <r>
      <rPr>
        <sz val="11"/>
        <color rgb="FF64748B"/>
        <rFont val="Noto Sans CJK SC"/>
        <family val="2"/>
      </rPr>
      <t xml:space="preserve">사람이 입력</t>
    </r>
  </si>
  <si>
    <t xml:space="preserve">뜬공</t>
  </si>
  <si>
    <r>
      <rPr>
        <sz val="11"/>
        <color theme="1"/>
        <rFont val="Noto Sans CJK SC"/>
        <family val="2"/>
      </rPr>
      <t xml:space="preserve">뜬공 아웃 </t>
    </r>
    <r>
      <rPr>
        <sz val="11"/>
        <color theme="1"/>
        <rFont val="Noto Sans KR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파울플라이 포함</t>
    </r>
    <r>
      <rPr>
        <sz val="11"/>
        <color theme="1"/>
        <rFont val="Noto Sans KR"/>
        <family val="0"/>
        <charset val="1"/>
      </rPr>
      <t xml:space="preserve">)</t>
    </r>
  </si>
  <si>
    <r>
      <rPr>
        <sz val="11"/>
        <color rgb="FF64748B"/>
        <rFont val="Noto Sans CJK SC"/>
        <family val="2"/>
      </rPr>
      <t xml:space="preserve">회색 칸 </t>
    </r>
    <r>
      <rPr>
        <sz val="11"/>
        <color rgb="FF64748B"/>
        <rFont val="Noto Sans KR"/>
        <family val="0"/>
        <charset val="1"/>
      </rPr>
      <t xml:space="preserve">= </t>
    </r>
    <r>
      <rPr>
        <sz val="11"/>
        <color rgb="FF64748B"/>
        <rFont val="Noto Sans CJK SC"/>
        <family val="2"/>
      </rPr>
      <t xml:space="preserve">자동 계산 </t>
    </r>
    <r>
      <rPr>
        <sz val="11"/>
        <color rgb="FF64748B"/>
        <rFont val="Noto Sans KR"/>
        <family val="0"/>
        <charset val="1"/>
      </rPr>
      <t xml:space="preserve">(</t>
    </r>
    <r>
      <rPr>
        <sz val="11"/>
        <color rgb="FF64748B"/>
        <rFont val="Noto Sans CJK SC"/>
        <family val="2"/>
      </rPr>
      <t xml:space="preserve">건드리지 말 것</t>
    </r>
    <r>
      <rPr>
        <sz val="11"/>
        <color rgb="FF64748B"/>
        <rFont val="Noto Sans KR"/>
        <family val="0"/>
        <charset val="1"/>
      </rPr>
      <t xml:space="preserve">)</t>
    </r>
  </si>
  <si>
    <t xml:space="preserve">직선타</t>
  </si>
  <si>
    <t xml:space="preserve">직선타 아웃</t>
  </si>
  <si>
    <t xml:space="preserve">병살</t>
  </si>
  <si>
    <t xml:space="preserve">병살타</t>
  </si>
  <si>
    <t xml:space="preserve">실책출루</t>
  </si>
  <si>
    <t xml:space="preserve">상대 실책으로 출루</t>
  </si>
  <si>
    <t xml:space="preserve">야수선택</t>
  </si>
  <si>
    <t xml:space="preserve">야수선택으로 출루</t>
  </si>
  <si>
    <t xml:space="preserve">볼넷</t>
  </si>
  <si>
    <t xml:space="preserve">제외</t>
  </si>
  <si>
    <t xml:space="preserve">사구</t>
  </si>
  <si>
    <t xml:space="preserve">몸에 맞는 공</t>
  </si>
  <si>
    <t xml:space="preserve">희생플라이</t>
  </si>
  <si>
    <t xml:space="preserve">희생번트</t>
  </si>
  <si>
    <r>
      <rPr>
        <b val="true"/>
        <sz val="11"/>
        <color rgb="FF141B3D"/>
        <rFont val="Noto Sans KR"/>
        <family val="0"/>
        <charset val="1"/>
      </rPr>
      <t xml:space="preserve">3. </t>
    </r>
    <r>
      <rPr>
        <b val="true"/>
        <sz val="11"/>
        <color rgb="FF141B3D"/>
        <rFont val="Noto Sans CJK SC"/>
        <family val="2"/>
      </rPr>
      <t xml:space="preserve">입력 예시 </t>
    </r>
    <r>
      <rPr>
        <b val="true"/>
        <sz val="11"/>
        <color rgb="FF141B3D"/>
        <rFont val="Noto Sans KR"/>
        <family val="0"/>
        <charset val="1"/>
      </rPr>
      <t xml:space="preserve">(</t>
    </r>
    <r>
      <rPr>
        <b val="true"/>
        <sz val="11"/>
        <color rgb="FF141B3D"/>
        <rFont val="Noto Sans CJK SC"/>
        <family val="2"/>
      </rPr>
      <t xml:space="preserve">실제 기록 시트에는 이 행을 넣지 마세요</t>
    </r>
    <r>
      <rPr>
        <b val="true"/>
        <sz val="11"/>
        <color rgb="FF141B3D"/>
        <rFont val="Noto Sans KR"/>
        <family val="0"/>
        <charset val="1"/>
      </rPr>
      <t xml:space="preserve">)</t>
    </r>
  </si>
  <si>
    <t xml:space="preserve">타순</t>
  </si>
  <si>
    <t xml:space="preserve">이름</t>
  </si>
  <si>
    <t xml:space="preserve">포지션</t>
  </si>
  <si>
    <r>
      <rPr>
        <b val="true"/>
        <sz val="11"/>
        <color rgb="FFFFFFFF"/>
        <rFont val="Noto Sans KR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타석</t>
    </r>
  </si>
  <si>
    <r>
      <rPr>
        <b val="true"/>
        <sz val="11"/>
        <color rgb="FFFFFFFF"/>
        <rFont val="Noto Sans KR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타석</t>
    </r>
  </si>
  <si>
    <r>
      <rPr>
        <b val="true"/>
        <sz val="11"/>
        <color rgb="FFFFFFFF"/>
        <rFont val="Noto Sans KR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타석</t>
    </r>
  </si>
  <si>
    <r>
      <rPr>
        <b val="true"/>
        <sz val="11"/>
        <color rgb="FFFFFFFF"/>
        <rFont val="Noto Sans KR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타석</t>
    </r>
  </si>
  <si>
    <t xml:space="preserve">득점</t>
  </si>
  <si>
    <t xml:space="preserve">타점</t>
  </si>
  <si>
    <t xml:space="preserve">→ 자동계산 결과</t>
  </si>
  <si>
    <t xml:space="preserve">홍길동</t>
  </si>
  <si>
    <t xml:space="preserve">CF</t>
  </si>
  <si>
    <r>
      <rPr>
        <sz val="11"/>
        <color rgb="FF64748B"/>
        <rFont val="Noto Sans CJK SC"/>
        <family val="2"/>
      </rPr>
      <t xml:space="preserve">타수 </t>
    </r>
    <r>
      <rPr>
        <sz val="11"/>
        <color rgb="FF64748B"/>
        <rFont val="Noto Sans KR"/>
        <family val="0"/>
        <charset val="1"/>
      </rPr>
      <t xml:space="preserve">3 · </t>
    </r>
    <r>
      <rPr>
        <sz val="11"/>
        <color rgb="FF64748B"/>
        <rFont val="Noto Sans CJK SC"/>
        <family val="2"/>
      </rPr>
      <t xml:space="preserve">안타 </t>
    </r>
    <r>
      <rPr>
        <sz val="11"/>
        <color rgb="FF64748B"/>
        <rFont val="Noto Sans KR"/>
        <family val="0"/>
        <charset val="1"/>
      </rPr>
      <t xml:space="preserve">2 · 2</t>
    </r>
    <r>
      <rPr>
        <sz val="11"/>
        <color rgb="FF64748B"/>
        <rFont val="Noto Sans CJK SC"/>
        <family val="2"/>
      </rPr>
      <t xml:space="preserve">루타 </t>
    </r>
    <r>
      <rPr>
        <sz val="11"/>
        <color rgb="FF64748B"/>
        <rFont val="Noto Sans KR"/>
        <family val="0"/>
        <charset val="1"/>
      </rPr>
      <t xml:space="preserve">1 · </t>
    </r>
    <r>
      <rPr>
        <sz val="11"/>
        <color rgb="FF64748B"/>
        <rFont val="Noto Sans CJK SC"/>
        <family val="2"/>
      </rPr>
      <t xml:space="preserve">볼넷 </t>
    </r>
    <r>
      <rPr>
        <sz val="11"/>
        <color rgb="FF64748B"/>
        <rFont val="Noto Sans KR"/>
        <family val="0"/>
        <charset val="1"/>
      </rPr>
      <t xml:space="preserve">1 · </t>
    </r>
    <r>
      <rPr>
        <sz val="11"/>
        <color rgb="FF64748B"/>
        <rFont val="Noto Sans CJK SC"/>
        <family val="2"/>
      </rPr>
      <t xml:space="preserve">삼진 </t>
    </r>
    <r>
      <rPr>
        <sz val="11"/>
        <color rgb="FF64748B"/>
        <rFont val="Noto Sans KR"/>
        <family val="0"/>
        <charset val="1"/>
      </rPr>
      <t xml:space="preserve">1 · </t>
    </r>
    <r>
      <rPr>
        <sz val="11"/>
        <color rgb="FF64748B"/>
        <rFont val="Noto Sans CJK SC"/>
        <family val="2"/>
      </rPr>
      <t xml:space="preserve">타율 </t>
    </r>
    <r>
      <rPr>
        <sz val="11"/>
        <color rgb="FF64748B"/>
        <rFont val="Noto Sans KR"/>
        <family val="0"/>
        <charset val="1"/>
      </rPr>
      <t xml:space="preserve">.667</t>
    </r>
  </si>
  <si>
    <r>
      <rPr>
        <b val="true"/>
        <sz val="11"/>
        <color rgb="FF141B3D"/>
        <rFont val="Noto Sans KR"/>
        <family val="0"/>
        <charset val="1"/>
      </rPr>
      <t xml:space="preserve">4. </t>
    </r>
    <r>
      <rPr>
        <b val="true"/>
        <sz val="11"/>
        <color rgb="FF141B3D"/>
        <rFont val="Noto Sans CJK SC"/>
        <family val="2"/>
      </rPr>
      <t xml:space="preserve">파일명 규칙</t>
    </r>
  </si>
  <si>
    <r>
      <rPr>
        <sz val="11"/>
        <color theme="1"/>
        <rFont val="Noto Sans CJK SC"/>
        <family val="2"/>
      </rPr>
      <t xml:space="preserve">자동 계산</t>
    </r>
    <r>
      <rPr>
        <sz val="11"/>
        <color theme="1"/>
        <rFont val="Noto Sans KR"/>
        <family val="0"/>
        <charset val="1"/>
      </rPr>
      <t xml:space="preserve">: AVG·OBP·SLG·OPS / IP·ERA·WHIP·K/BB·K/9·BB/9</t>
    </r>
  </si>
  <si>
    <r>
      <rPr>
        <sz val="11"/>
        <color rgb="FF64748B"/>
        <rFont val="Noto Sans KR"/>
        <family val="0"/>
        <charset val="1"/>
      </rPr>
      <t xml:space="preserve">0</t>
    </r>
    <r>
      <rPr>
        <sz val="11"/>
        <color rgb="FF64748B"/>
        <rFont val="Noto Sans CJK SC"/>
        <family val="2"/>
      </rPr>
      <t xml:space="preserve">으로 나눌 수 없는 지표는 </t>
    </r>
    <r>
      <rPr>
        <sz val="11"/>
        <color rgb="FF64748B"/>
        <rFont val="Noto Sans KR"/>
        <family val="0"/>
        <charset val="1"/>
      </rPr>
      <t xml:space="preserve">n.a. </t>
    </r>
    <r>
      <rPr>
        <sz val="11"/>
        <color rgb="FF64748B"/>
        <rFont val="Noto Sans CJK SC"/>
        <family val="2"/>
      </rPr>
      <t xml:space="preserve">표시</t>
    </r>
    <r>
      <rPr>
        <sz val="11"/>
        <color rgb="FF64748B"/>
        <rFont val="Noto Sans KR"/>
        <family val="0"/>
        <charset val="1"/>
      </rPr>
      <t xml:space="preserve">. </t>
    </r>
    <r>
      <rPr>
        <sz val="11"/>
        <color rgb="FF64748B"/>
        <rFont val="Noto Sans CJK SC"/>
        <family val="2"/>
      </rPr>
      <t xml:space="preserve">기록이 없는 </t>
    </r>
    <r>
      <rPr>
        <sz val="11"/>
        <color rgb="FF64748B"/>
        <rFont val="Noto Sans KR"/>
        <family val="0"/>
        <charset val="1"/>
      </rPr>
      <t xml:space="preserve">0</t>
    </r>
    <r>
      <rPr>
        <sz val="11"/>
        <color rgb="FF64748B"/>
        <rFont val="Noto Sans CJK SC"/>
        <family val="2"/>
      </rPr>
      <t xml:space="preserve">과 미입력 빈칸 구분</t>
    </r>
    <r>
      <rPr>
        <sz val="11"/>
        <color rgb="FF64748B"/>
        <rFont val="Noto Sans KR"/>
        <family val="0"/>
        <charset val="1"/>
      </rPr>
      <t xml:space="preserve">.</t>
    </r>
  </si>
  <si>
    <r>
      <rPr>
        <b val="true"/>
        <sz val="11"/>
        <color rgb="FF141B3D"/>
        <rFont val="Noto Sans KR"/>
        <family val="0"/>
        <charset val="1"/>
      </rPr>
      <t xml:space="preserve">5. </t>
    </r>
    <r>
      <rPr>
        <b val="true"/>
        <sz val="11"/>
        <color rgb="FF141B3D"/>
        <rFont val="Noto Sans CJK SC"/>
        <family val="2"/>
      </rPr>
      <t xml:space="preserve">검수 기준 </t>
    </r>
    <r>
      <rPr>
        <b val="true"/>
        <sz val="11"/>
        <color rgb="FF141B3D"/>
        <rFont val="Noto Sans KR"/>
        <family val="0"/>
        <charset val="1"/>
      </rPr>
      <t xml:space="preserve">(</t>
    </r>
    <r>
      <rPr>
        <b val="true"/>
        <sz val="11"/>
        <color rgb="FF141B3D"/>
        <rFont val="Noto Sans CJK SC"/>
        <family val="2"/>
      </rPr>
      <t xml:space="preserve">수치 대조</t>
    </r>
    <r>
      <rPr>
        <b val="true"/>
        <sz val="11"/>
        <color rgb="FF141B3D"/>
        <rFont val="Noto Sans KR"/>
        <family val="0"/>
        <charset val="1"/>
      </rPr>
      <t xml:space="preserve">·</t>
    </r>
    <r>
      <rPr>
        <b val="true"/>
        <sz val="11"/>
        <color rgb="FF141B3D"/>
        <rFont val="Noto Sans CJK SC"/>
        <family val="2"/>
      </rPr>
      <t xml:space="preserve">입력 대기</t>
    </r>
    <r>
      <rPr>
        <b val="true"/>
        <sz val="11"/>
        <color rgb="FF141B3D"/>
        <rFont val="Noto Sans KR"/>
        <family val="0"/>
        <charset val="1"/>
      </rPr>
      <t xml:space="preserve">·</t>
    </r>
    <r>
      <rPr>
        <b val="true"/>
        <sz val="11"/>
        <color rgb="FF141B3D"/>
        <rFont val="Noto Sans CJK SC"/>
        <family val="2"/>
      </rPr>
      <t xml:space="preserve">플레이 판정 각각 확인</t>
    </r>
    <r>
      <rPr>
        <b val="true"/>
        <sz val="11"/>
        <color rgb="FF141B3D"/>
        <rFont val="Noto Sans KR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</si>
  <si>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희생플라이는 </t>
    </r>
    <r>
      <rPr>
        <sz val="11"/>
        <color theme="1"/>
        <rFont val="Noto Sans KR"/>
        <family val="0"/>
        <charset val="1"/>
      </rPr>
      <t xml:space="preserve">OBP </t>
    </r>
    <r>
      <rPr>
        <sz val="11"/>
        <color theme="1"/>
        <rFont val="Noto Sans CJK SC"/>
        <family val="2"/>
      </rPr>
      <t xml:space="preserve">분모에 포함</t>
    </r>
    <r>
      <rPr>
        <sz val="11"/>
        <color theme="1"/>
        <rFont val="Noto Sans KR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희생번트</t>
    </r>
    <r>
      <rPr>
        <sz val="11"/>
        <color theme="1"/>
        <rFont val="Noto Sans KR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포수방해는 분모에서 제외</t>
    </r>
    <r>
      <rPr>
        <sz val="11"/>
        <color theme="1"/>
        <rFont val="Noto Sans KR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</si>
  <si>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타율</t>
    </r>
    <r>
      <rPr>
        <sz val="11"/>
        <color theme="1"/>
        <rFont val="Noto Sans KR"/>
        <family val="0"/>
        <charset val="1"/>
      </rPr>
      <t xml:space="preserve">·ERA</t>
    </r>
    <r>
      <rPr>
        <sz val="11"/>
        <color theme="1"/>
        <rFont val="Noto Sans CJK SC"/>
        <family val="2"/>
      </rPr>
      <t xml:space="preserve">는 원래 분자</t>
    </r>
    <r>
      <rPr>
        <sz val="11"/>
        <color theme="1"/>
        <rFont val="Noto Sans KR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분모로 계산</t>
    </r>
    <r>
      <rPr>
        <sz val="11"/>
        <color theme="1"/>
        <rFont val="Noto Sans KR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화면의 반올림 값으로 재계산하지 않음</t>
    </r>
    <r>
      <rPr>
        <sz val="11"/>
        <color theme="1"/>
        <rFont val="Noto Sans KR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</si>
  <si>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자책점 미확정은 빈칸 유지</t>
    </r>
    <r>
      <rPr>
        <sz val="11"/>
        <color theme="1"/>
        <rFont val="Noto Sans KR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실책 개수만큼 실점에서 빼는 방식 사용 금지</t>
    </r>
    <r>
      <rPr>
        <sz val="11"/>
        <color theme="1"/>
        <rFont val="Noto Sans KR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</si>
  <si>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투수 교체 시 잔류 주자의 책임 투수와 교체 시점을 주요 기록에 기재</t>
    </r>
    <r>
      <rPr>
        <sz val="11"/>
        <color theme="1"/>
        <rFont val="Noto Sans KR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</si>
  <si>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수치 검수 통과와 플레이 판정 확인을 각각 완료</t>
    </r>
    <r>
      <rPr>
        <sz val="11"/>
        <color theme="1"/>
        <rFont val="Noto Sans KR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수정 이유는 검수 이력에 기재</t>
    </r>
    <r>
      <rPr>
        <sz val="11"/>
        <color theme="1"/>
        <rFont val="Noto Sans KR"/>
        <family val="0"/>
        <charset val="1"/>
      </rPr>
      <t xml:space="preserve">.</t>
    </r>
  </si>
  <si>
    <r>
      <rPr>
        <sz val="11"/>
        <color rgb="FF64748B"/>
        <rFont val="Noto Sans CJK SC"/>
        <family val="2"/>
      </rPr>
      <t xml:space="preserve">기존 입력 좌표 유지</t>
    </r>
    <r>
      <rPr>
        <sz val="11"/>
        <color rgb="FF64748B"/>
        <rFont val="Noto Sans KR"/>
        <family val="0"/>
        <charset val="1"/>
      </rPr>
      <t xml:space="preserve">. </t>
    </r>
    <r>
      <rPr>
        <sz val="11"/>
        <color rgb="FF64748B"/>
        <rFont val="Noto Sans CJK SC"/>
        <family val="2"/>
      </rPr>
      <t xml:space="preserve">추가 열</t>
    </r>
    <r>
      <rPr>
        <sz val="11"/>
        <color rgb="FF64748B"/>
        <rFont val="Noto Sans KR"/>
        <family val="0"/>
        <charset val="1"/>
      </rPr>
      <t xml:space="preserve">·</t>
    </r>
    <r>
      <rPr>
        <sz val="11"/>
        <color rgb="FF64748B"/>
        <rFont val="Noto Sans CJK SC"/>
        <family val="2"/>
      </rPr>
      <t xml:space="preserve">시트 및 확장 타석의 플랫폼 처리 여부는 업로드 전 확인</t>
    </r>
    <r>
      <rPr>
        <sz val="11"/>
        <color rgb="FF64748B"/>
        <rFont val="Noto Sans KR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</si>
  <si>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벤치마킹</t>
    </r>
    <r>
      <rPr>
        <sz val="11"/>
        <color theme="1"/>
        <rFont val="Calibri"/>
        <family val="0"/>
        <charset val="1"/>
      </rPr>
      <t xml:space="preserve">: Wall Street Prep, Financial Modeling Guide (</t>
    </r>
    <r>
      <rPr>
        <sz val="11"/>
        <color theme="1"/>
        <rFont val="Noto Sans CJK SC"/>
        <family val="2"/>
      </rPr>
      <t xml:space="preserve">색상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수식 일관성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감사 가능성</t>
    </r>
    <r>
      <rPr>
        <sz val="11"/>
        <color theme="1"/>
        <rFont val="Calibri"/>
        <family val="0"/>
        <charset val="1"/>
      </rPr>
      <t xml:space="preserve">)</t>
    </r>
  </si>
  <si>
    <t xml:space="preserve">https://www.wallstreetprep.com/knowledge/financial-modeling/</t>
  </si>
  <si>
    <t xml:space="preserve">추가 표기</t>
  </si>
  <si>
    <t xml:space="preserve">낫아웃출루</t>
  </si>
  <si>
    <t xml:space="preserve">삼진 후 출루</t>
  </si>
  <si>
    <t xml:space="preserve">포수방해</t>
  </si>
  <si>
    <r>
      <rPr>
        <sz val="11"/>
        <color theme="1"/>
        <rFont val="Noto Sans CJK SC"/>
        <family val="2"/>
      </rPr>
      <t xml:space="preserve">방해로 </t>
    </r>
    <r>
      <rPr>
        <sz val="11"/>
        <color theme="1"/>
        <rFont val="Calibri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루 진루</t>
    </r>
  </si>
  <si>
    <t xml:space="preserve">경기 정보</t>
  </si>
  <si>
    <r>
      <rPr>
        <sz val="11"/>
        <color rgb="FF64748B"/>
        <rFont val="Noto Sans CJK SC"/>
        <family val="2"/>
      </rPr>
      <t xml:space="preserve">노란 칸만 입력하세요</t>
    </r>
    <r>
      <rPr>
        <sz val="11"/>
        <color rgb="FF64748B"/>
        <rFont val="Noto Sans KR"/>
        <family val="0"/>
        <charset val="1"/>
      </rPr>
      <t xml:space="preserve">.</t>
    </r>
  </si>
  <si>
    <t xml:space="preserve">날짜</t>
  </si>
  <si>
    <r>
      <rPr>
        <sz val="11"/>
        <color rgb="FF64748B"/>
        <rFont val="Noto Sans CJK SC"/>
        <family val="2"/>
      </rPr>
      <t xml:space="preserve">날짜 형식으로 입력 </t>
    </r>
    <r>
      <rPr>
        <sz val="11"/>
        <color rgb="FF64748B"/>
        <rFont val="Noto Sans KR"/>
        <family val="0"/>
        <charset val="1"/>
      </rPr>
      <t xml:space="preserve">(</t>
    </r>
    <r>
      <rPr>
        <sz val="11"/>
        <color rgb="FF64748B"/>
        <rFont val="Noto Sans CJK SC"/>
        <family val="2"/>
      </rPr>
      <t xml:space="preserve">예</t>
    </r>
    <r>
      <rPr>
        <sz val="11"/>
        <color rgb="FF64748B"/>
        <rFont val="Noto Sans KR"/>
        <family val="0"/>
        <charset val="1"/>
      </rPr>
      <t xml:space="preserve">: 2026-09-12)</t>
    </r>
  </si>
  <si>
    <t xml:space="preserve">상대팀</t>
  </si>
  <si>
    <t xml:space="preserve">테스트팀</t>
  </si>
  <si>
    <t xml:space="preserve">파일명에 들어가는 이름과 같게</t>
  </si>
  <si>
    <r>
      <rPr>
        <b val="true"/>
        <sz val="11"/>
        <color rgb="FF141B3D"/>
        <rFont val="Noto Sans CJK SC"/>
        <family val="2"/>
      </rPr>
      <t xml:space="preserve">홈</t>
    </r>
    <r>
      <rPr>
        <b val="true"/>
        <sz val="11"/>
        <color rgb="FF141B3D"/>
        <rFont val="Noto Sans KR"/>
        <family val="0"/>
        <charset val="1"/>
      </rPr>
      <t xml:space="preserve">/</t>
    </r>
    <r>
      <rPr>
        <b val="true"/>
        <sz val="11"/>
        <color rgb="FF141B3D"/>
        <rFont val="Noto Sans CJK SC"/>
        <family val="2"/>
      </rPr>
      <t xml:space="preserve">원정</t>
    </r>
  </si>
  <si>
    <t xml:space="preserve">원정</t>
  </si>
  <si>
    <t xml:space="preserve">홈 또는 원정</t>
  </si>
  <si>
    <t xml:space="preserve">장소</t>
  </si>
  <si>
    <t xml:space="preserve">테스트구장</t>
  </si>
  <si>
    <t xml:space="preserve">우리 점수</t>
  </si>
  <si>
    <t xml:space="preserve">스코어보드 최종 점수</t>
  </si>
  <si>
    <t xml:space="preserve">상대 점수</t>
  </si>
  <si>
    <t xml:space="preserve">우리 수비 이닝</t>
  </si>
  <si>
    <r>
      <rPr>
        <sz val="11"/>
        <color rgb="FF64748B"/>
        <rFont val="Noto Sans CJK SC"/>
        <family val="2"/>
      </rPr>
      <t xml:space="preserve">야구 표기 입력</t>
    </r>
    <r>
      <rPr>
        <sz val="11"/>
        <color rgb="FF64748B"/>
        <rFont val="Noto Sans KR"/>
        <family val="0"/>
        <charset val="1"/>
      </rPr>
      <t xml:space="preserve">: 7 </t>
    </r>
    <r>
      <rPr>
        <sz val="11"/>
        <color rgb="FF64748B"/>
        <rFont val="Noto Sans CJK SC"/>
        <family val="2"/>
      </rPr>
      <t xml:space="preserve">또는 </t>
    </r>
    <r>
      <rPr>
        <sz val="11"/>
        <color rgb="FF64748B"/>
        <rFont val="Noto Sans KR"/>
        <family val="0"/>
        <charset val="1"/>
      </rPr>
      <t xml:space="preserve">6.2(6</t>
    </r>
    <r>
      <rPr>
        <sz val="11"/>
        <color rgb="FF64748B"/>
        <rFont val="Noto Sans CJK SC"/>
        <family val="2"/>
      </rPr>
      <t xml:space="preserve">이닝 </t>
    </r>
    <r>
      <rPr>
        <sz val="11"/>
        <color rgb="FF64748B"/>
        <rFont val="Noto Sans KR"/>
        <family val="0"/>
        <charset val="1"/>
      </rPr>
      <t xml:space="preserve">2</t>
    </r>
    <r>
      <rPr>
        <sz val="11"/>
        <color rgb="FF64748B"/>
        <rFont val="Noto Sans CJK SC"/>
        <family val="2"/>
      </rPr>
      <t xml:space="preserve">아웃</t>
    </r>
    <r>
      <rPr>
        <sz val="11"/>
        <color rgb="FF64748B"/>
        <rFont val="Noto Sans KR"/>
        <family val="0"/>
        <charset val="1"/>
      </rPr>
      <t xml:space="preserve">). 6.67 </t>
    </r>
    <r>
      <rPr>
        <sz val="11"/>
        <color rgb="FF64748B"/>
        <rFont val="Noto Sans CJK SC"/>
        <family val="2"/>
      </rPr>
      <t xml:space="preserve">입력 금지</t>
    </r>
    <r>
      <rPr>
        <sz val="11"/>
        <color rgb="FF64748B"/>
        <rFont val="Noto Sans KR"/>
        <family val="0"/>
        <charset val="1"/>
      </rPr>
      <t xml:space="preserve">.</t>
    </r>
  </si>
  <si>
    <r>
      <rPr>
        <b val="true"/>
        <sz val="11"/>
        <color rgb="FF141B3D"/>
        <rFont val="Noto Sans CJK SC"/>
        <family val="2"/>
      </rPr>
      <t xml:space="preserve">기록원 </t>
    </r>
    <r>
      <rPr>
        <b val="true"/>
        <sz val="11"/>
        <color rgb="FF141B3D"/>
        <rFont val="Noto Sans KR"/>
        <family val="0"/>
        <charset val="1"/>
      </rPr>
      <t xml:space="preserve">A (</t>
    </r>
    <r>
      <rPr>
        <b val="true"/>
        <sz val="11"/>
        <color rgb="FF141B3D"/>
        <rFont val="Noto Sans CJK SC"/>
        <family val="2"/>
      </rPr>
      <t xml:space="preserve">타자</t>
    </r>
    <r>
      <rPr>
        <b val="true"/>
        <sz val="11"/>
        <color rgb="FF141B3D"/>
        <rFont val="Noto Sans KR"/>
        <family val="0"/>
        <charset val="1"/>
      </rPr>
      <t xml:space="preserve">)</t>
    </r>
  </si>
  <si>
    <r>
      <rPr>
        <b val="true"/>
        <sz val="11"/>
        <color rgb="FF141B3D"/>
        <rFont val="Noto Sans CJK SC"/>
        <family val="2"/>
      </rPr>
      <t xml:space="preserve">기록원 </t>
    </r>
    <r>
      <rPr>
        <b val="true"/>
        <sz val="11"/>
        <color rgb="FF141B3D"/>
        <rFont val="Noto Sans KR"/>
        <family val="0"/>
        <charset val="1"/>
      </rPr>
      <t xml:space="preserve">B (</t>
    </r>
    <r>
      <rPr>
        <b val="true"/>
        <sz val="11"/>
        <color rgb="FF141B3D"/>
        <rFont val="Noto Sans CJK SC"/>
        <family val="2"/>
      </rPr>
      <t xml:space="preserve">투수</t>
    </r>
    <r>
      <rPr>
        <b val="true"/>
        <sz val="11"/>
        <color rgb="FF141B3D"/>
        <rFont val="Noto Sans KR"/>
        <family val="0"/>
        <charset val="1"/>
      </rPr>
      <t xml:space="preserve">)</t>
    </r>
  </si>
  <si>
    <r>
      <rPr>
        <b val="true"/>
        <sz val="11"/>
        <color rgb="FF141B3D"/>
        <rFont val="Noto Sans KR"/>
        <family val="0"/>
        <charset val="1"/>
      </rPr>
      <t xml:space="preserve">1</t>
    </r>
    <r>
      <rPr>
        <b val="true"/>
        <sz val="11"/>
        <color rgb="FF141B3D"/>
        <rFont val="Noto Sans CJK SC"/>
        <family val="2"/>
      </rPr>
      <t xml:space="preserve">차 검수 </t>
    </r>
    <r>
      <rPr>
        <b val="true"/>
        <sz val="11"/>
        <color rgb="FF141B3D"/>
        <rFont val="Noto Sans KR"/>
        <family val="0"/>
        <charset val="1"/>
      </rPr>
      <t xml:space="preserve">(</t>
    </r>
    <r>
      <rPr>
        <b val="true"/>
        <sz val="11"/>
        <color rgb="FF141B3D"/>
        <rFont val="Noto Sans CJK SC"/>
        <family val="2"/>
      </rPr>
      <t xml:space="preserve">운영팀장</t>
    </r>
    <r>
      <rPr>
        <b val="true"/>
        <sz val="11"/>
        <color rgb="FF141B3D"/>
        <rFont val="Noto Sans KR"/>
        <family val="0"/>
        <charset val="1"/>
      </rPr>
      <t xml:space="preserve">)</t>
    </r>
  </si>
  <si>
    <r>
      <rPr>
        <b val="true"/>
        <sz val="11"/>
        <color rgb="FF141B3D"/>
        <rFont val="Noto Sans KR"/>
        <family val="0"/>
        <charset val="1"/>
      </rPr>
      <t xml:space="preserve">2</t>
    </r>
    <r>
      <rPr>
        <b val="true"/>
        <sz val="11"/>
        <color rgb="FF141B3D"/>
        <rFont val="Noto Sans CJK SC"/>
        <family val="2"/>
      </rPr>
      <t xml:space="preserve">차 검수 </t>
    </r>
    <r>
      <rPr>
        <b val="true"/>
        <sz val="11"/>
        <color rgb="FF141B3D"/>
        <rFont val="Noto Sans KR"/>
        <family val="0"/>
        <charset val="1"/>
      </rPr>
      <t xml:space="preserve">(</t>
    </r>
    <r>
      <rPr>
        <b val="true"/>
        <sz val="11"/>
        <color rgb="FF141B3D"/>
        <rFont val="Noto Sans CJK SC"/>
        <family val="2"/>
      </rPr>
      <t xml:space="preserve">단장</t>
    </r>
    <r>
      <rPr>
        <b val="true"/>
        <sz val="11"/>
        <color rgb="FF141B3D"/>
        <rFont val="Noto Sans KR"/>
        <family val="0"/>
        <charset val="1"/>
      </rPr>
      <t xml:space="preserve">·</t>
    </r>
    <r>
      <rPr>
        <b val="true"/>
        <sz val="11"/>
        <color rgb="FF141B3D"/>
        <rFont val="Noto Sans CJK SC"/>
        <family val="2"/>
      </rPr>
      <t xml:space="preserve">감독</t>
    </r>
    <r>
      <rPr>
        <b val="true"/>
        <sz val="11"/>
        <color rgb="FF141B3D"/>
        <rFont val="Noto Sans KR"/>
        <family val="0"/>
        <charset val="1"/>
      </rPr>
      <t xml:space="preserve">)</t>
    </r>
  </si>
  <si>
    <t xml:space="preserve">검수 완료일</t>
  </si>
  <si>
    <t xml:space="preserve">업로드 파일명</t>
  </si>
  <si>
    <r>
      <rPr>
        <sz val="11"/>
        <color rgb="FF64748B"/>
        <rFont val="Noto Sans CJK SC"/>
        <family val="2"/>
      </rPr>
      <t xml:space="preserve">자동 생성</t>
    </r>
    <r>
      <rPr>
        <sz val="11"/>
        <color rgb="FF64748B"/>
        <rFont val="Noto Sans KR"/>
        <family val="0"/>
        <charset val="1"/>
      </rPr>
      <t xml:space="preserve">. </t>
    </r>
    <r>
      <rPr>
        <sz val="11"/>
        <color rgb="FF64748B"/>
        <rFont val="Noto Sans CJK SC"/>
        <family val="2"/>
      </rPr>
      <t xml:space="preserve">이 이름으로 파일을 저장한 뒤 업로드하세요 </t>
    </r>
    <r>
      <rPr>
        <sz val="11"/>
        <color rgb="FF64748B"/>
        <rFont val="Noto Sans KR"/>
        <family val="0"/>
        <charset val="1"/>
      </rPr>
      <t xml:space="preserve">(.xlsx </t>
    </r>
    <r>
      <rPr>
        <sz val="11"/>
        <color rgb="FF64748B"/>
        <rFont val="Noto Sans CJK SC"/>
        <family val="2"/>
      </rPr>
      <t xml:space="preserve">확장자 포함</t>
    </r>
    <r>
      <rPr>
        <sz val="11"/>
        <color rgb="FF64748B"/>
        <rFont val="Noto Sans KR"/>
        <family val="0"/>
        <charset val="1"/>
      </rPr>
      <t xml:space="preserve">)</t>
    </r>
  </si>
  <si>
    <r>
      <rPr>
        <sz val="11"/>
        <color theme="1"/>
        <rFont val="Calibri"/>
        <family val="0"/>
        <charset val="1"/>
      </rPr>
      <t xml:space="preserve">ERA </t>
    </r>
    <r>
      <rPr>
        <sz val="11"/>
        <color theme="1"/>
        <rFont val="Noto Sans CJK SC"/>
        <family val="2"/>
      </rPr>
      <t xml:space="preserve">기준 이닝</t>
    </r>
  </si>
  <si>
    <r>
      <rPr>
        <sz val="11"/>
        <color theme="1"/>
        <rFont val="Noto Sans CJK SC"/>
        <family val="2"/>
      </rPr>
      <t xml:space="preserve">공식 비교는 </t>
    </r>
    <r>
      <rPr>
        <sz val="11"/>
        <color theme="1"/>
        <rFont val="Calibri"/>
        <family val="0"/>
        <charset val="1"/>
      </rPr>
      <t xml:space="preserve">9. </t>
    </r>
    <r>
      <rPr>
        <sz val="11"/>
        <color theme="1"/>
        <rFont val="Noto Sans CJK SC"/>
        <family val="2"/>
      </rPr>
      <t xml:space="preserve">별도 리그 기준 사용 시 변경</t>
    </r>
    <r>
      <rPr>
        <sz val="11"/>
        <color theme="1"/>
        <rFont val="Calibri"/>
        <family val="0"/>
        <charset val="1"/>
      </rPr>
      <t xml:space="preserve">.</t>
    </r>
  </si>
  <si>
    <t xml:space="preserve">수비 아웃 기준값</t>
  </si>
  <si>
    <r>
      <rPr>
        <sz val="11"/>
        <color theme="1"/>
        <rFont val="Noto Sans CJK SC"/>
        <family val="2"/>
      </rPr>
      <t xml:space="preserve">스코어북의 수비 이닝을 아웃으로 변환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투수 합계와 독립 대조</t>
    </r>
    <r>
      <rPr>
        <sz val="11"/>
        <color theme="1"/>
        <rFont val="Calibri"/>
        <family val="0"/>
        <charset val="1"/>
      </rPr>
      <t xml:space="preserve">.</t>
    </r>
  </si>
  <si>
    <t xml:space="preserve">시스템 입력 완료일</t>
  </si>
  <si>
    <r>
      <rPr>
        <sz val="11"/>
        <color theme="1"/>
        <rFont val="Noto Sans CJK SC"/>
        <family val="2"/>
      </rPr>
      <t xml:space="preserve">검수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입력 마감일</t>
    </r>
  </si>
  <si>
    <t xml:space="preserve">마감 준수</t>
  </si>
  <si>
    <t xml:space="preserve">플레이 판정 확인</t>
  </si>
  <si>
    <r>
      <rPr>
        <sz val="11"/>
        <color theme="1"/>
        <rFont val="Noto Sans CJK SC"/>
        <family val="2"/>
      </rPr>
      <t xml:space="preserve">안타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실책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타점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자책점 판정 확인 후 선택</t>
    </r>
    <r>
      <rPr>
        <sz val="11"/>
        <color theme="1"/>
        <rFont val="Calibri"/>
        <family val="0"/>
        <charset val="1"/>
      </rPr>
      <t xml:space="preserve">.</t>
    </r>
  </si>
  <si>
    <t xml:space="preserve">교차 기록 대조</t>
  </si>
  <si>
    <t xml:space="preserve">버전</t>
  </si>
  <si>
    <t xml:space="preserve">v3.0</t>
  </si>
  <si>
    <r>
      <rPr>
        <sz val="11"/>
        <color theme="1"/>
        <rFont val="Noto Sans CJK SC"/>
        <family val="2"/>
      </rPr>
      <t xml:space="preserve">기존 시트명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입력 위치 유지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추가 열의 플랫폼 호환은 업로드 전 확인</t>
    </r>
    <r>
      <rPr>
        <sz val="11"/>
        <color theme="1"/>
        <rFont val="Calibri"/>
        <family val="0"/>
        <charset val="1"/>
      </rPr>
      <t xml:space="preserve">.</t>
    </r>
  </si>
  <si>
    <r>
      <rPr>
        <b val="true"/>
        <sz val="11"/>
        <color rgb="FFFFFFFF"/>
        <rFont val="Noto Sans KR"/>
        <family val="0"/>
        <charset val="1"/>
      </rPr>
      <t xml:space="preserve">5</t>
    </r>
    <r>
      <rPr>
        <b val="true"/>
        <sz val="11"/>
        <color rgb="FFFFFFFF"/>
        <rFont val="Noto Sans CJK SC"/>
        <family val="2"/>
      </rPr>
      <t xml:space="preserve">타석</t>
    </r>
  </si>
  <si>
    <r>
      <rPr>
        <b val="true"/>
        <sz val="11"/>
        <color rgb="FFFFFFFF"/>
        <rFont val="Noto Sans KR"/>
        <family val="0"/>
        <charset val="1"/>
      </rPr>
      <t xml:space="preserve">6</t>
    </r>
    <r>
      <rPr>
        <b val="true"/>
        <sz val="11"/>
        <color rgb="FFFFFFFF"/>
        <rFont val="Noto Sans CJK SC"/>
        <family val="2"/>
      </rPr>
      <t xml:space="preserve">타석</t>
    </r>
  </si>
  <si>
    <t xml:space="preserve">도루</t>
  </si>
  <si>
    <t xml:space="preserve">타수</t>
  </si>
  <si>
    <r>
      <rPr>
        <b val="true"/>
        <sz val="11"/>
        <color rgb="FFFFFFFF"/>
        <rFont val="Noto Sans KR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루타</t>
    </r>
  </si>
  <si>
    <r>
      <rPr>
        <b val="true"/>
        <sz val="11"/>
        <color rgb="FFFFFFFF"/>
        <rFont val="Noto Sans KR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루타</t>
    </r>
  </si>
  <si>
    <t xml:space="preserve">타율</t>
  </si>
  <si>
    <r>
      <rPr>
        <b val="true"/>
        <sz val="11"/>
        <color rgb="FFFFFFFF"/>
        <rFont val="Noto Sans KR"/>
        <family val="0"/>
        <charset val="1"/>
      </rPr>
      <t xml:space="preserve">7</t>
    </r>
    <r>
      <rPr>
        <b val="true"/>
        <sz val="11"/>
        <color rgb="FFFFFFFF"/>
        <rFont val="Noto Sans CJK SC"/>
        <family val="2"/>
      </rPr>
      <t xml:space="preserve">타석</t>
    </r>
  </si>
  <si>
    <r>
      <rPr>
        <b val="true"/>
        <sz val="11"/>
        <color rgb="FFFFFFFF"/>
        <rFont val="Noto Sans KR"/>
        <family val="0"/>
        <charset val="1"/>
      </rPr>
      <t xml:space="preserve">8</t>
    </r>
    <r>
      <rPr>
        <b val="true"/>
        <sz val="11"/>
        <color rgb="FFFFFFFF"/>
        <rFont val="Noto Sans CJK SC"/>
        <family val="2"/>
      </rPr>
      <t xml:space="preserve">타석</t>
    </r>
  </si>
  <si>
    <r>
      <rPr>
        <b val="true"/>
        <sz val="11"/>
        <color rgb="FFFFFFFF"/>
        <rFont val="Noto Sans KR"/>
        <family val="0"/>
        <charset val="1"/>
      </rPr>
      <t xml:space="preserve">9</t>
    </r>
    <r>
      <rPr>
        <b val="true"/>
        <sz val="11"/>
        <color rgb="FFFFFFFF"/>
        <rFont val="Noto Sans CJK SC"/>
        <family val="2"/>
      </rPr>
      <t xml:space="preserve">타석</t>
    </r>
  </si>
  <si>
    <r>
      <rPr>
        <b val="true"/>
        <sz val="11"/>
        <color rgb="FFFFFFFF"/>
        <rFont val="Noto Sans KR"/>
        <family val="0"/>
        <charset val="1"/>
      </rPr>
      <t xml:space="preserve">10</t>
    </r>
    <r>
      <rPr>
        <b val="true"/>
        <sz val="11"/>
        <color rgb="FFFFFFFF"/>
        <rFont val="Noto Sans CJK SC"/>
        <family val="2"/>
      </rPr>
      <t xml:space="preserve">타석</t>
    </r>
  </si>
  <si>
    <r>
      <rPr>
        <b val="true"/>
        <sz val="11"/>
        <color rgb="FFFFFFFF"/>
        <rFont val="Noto Sans KR"/>
        <family val="0"/>
        <charset val="1"/>
      </rPr>
      <t xml:space="preserve">11</t>
    </r>
    <r>
      <rPr>
        <b val="true"/>
        <sz val="11"/>
        <color rgb="FFFFFFFF"/>
        <rFont val="Noto Sans CJK SC"/>
        <family val="2"/>
      </rPr>
      <t xml:space="preserve">타석</t>
    </r>
  </si>
  <si>
    <r>
      <rPr>
        <b val="true"/>
        <sz val="11"/>
        <color rgb="FFFFFFFF"/>
        <rFont val="Noto Sans KR"/>
        <family val="0"/>
        <charset val="1"/>
      </rPr>
      <t xml:space="preserve">12</t>
    </r>
    <r>
      <rPr>
        <b val="true"/>
        <sz val="11"/>
        <color rgb="FFFFFFFF"/>
        <rFont val="Noto Sans CJK SC"/>
        <family val="2"/>
      </rPr>
      <t xml:space="preserve">타석</t>
    </r>
  </si>
  <si>
    <r>
      <rPr>
        <b val="true"/>
        <sz val="11"/>
        <color rgb="FFFFFFFF"/>
        <rFont val="Noto Sans CJK SC"/>
        <family val="2"/>
      </rPr>
      <t xml:space="preserve">타석 </t>
    </r>
    <r>
      <rPr>
        <b val="true"/>
        <sz val="11"/>
        <color rgb="FFFFFFFF"/>
        <rFont val="Noto Sans KR"/>
        <family val="0"/>
        <charset val="1"/>
      </rPr>
      <t xml:space="preserve">PA</t>
    </r>
  </si>
  <si>
    <r>
      <rPr>
        <b val="true"/>
        <sz val="11"/>
        <color rgb="FFFFFFFF"/>
        <rFont val="Noto Sans CJK SC"/>
        <family val="2"/>
      </rPr>
      <t xml:space="preserve">총루타 </t>
    </r>
    <r>
      <rPr>
        <b val="true"/>
        <sz val="11"/>
        <color rgb="FFFFFFFF"/>
        <rFont val="Noto Sans KR"/>
        <family val="0"/>
        <charset val="1"/>
      </rPr>
      <t xml:space="preserve">TB</t>
    </r>
  </si>
  <si>
    <r>
      <rPr>
        <b val="true"/>
        <sz val="11"/>
        <color rgb="FFFFFFFF"/>
        <rFont val="Noto Sans CJK SC"/>
        <family val="2"/>
      </rPr>
      <t xml:space="preserve">출루율 </t>
    </r>
    <r>
      <rPr>
        <b val="true"/>
        <sz val="11"/>
        <color rgb="FFFFFFFF"/>
        <rFont val="Noto Sans KR"/>
        <family val="0"/>
        <charset val="1"/>
      </rPr>
      <t xml:space="preserve">OBP</t>
    </r>
  </si>
  <si>
    <r>
      <rPr>
        <b val="true"/>
        <sz val="11"/>
        <color rgb="FFFFFFFF"/>
        <rFont val="Noto Sans CJK SC"/>
        <family val="2"/>
      </rPr>
      <t xml:space="preserve">장타율 </t>
    </r>
    <r>
      <rPr>
        <b val="true"/>
        <sz val="11"/>
        <color rgb="FFFFFFFF"/>
        <rFont val="Noto Sans KR"/>
        <family val="0"/>
        <charset val="1"/>
      </rPr>
      <t xml:space="preserve">SLG</t>
    </r>
  </si>
  <si>
    <t xml:space="preserve">OPS</t>
  </si>
  <si>
    <t xml:space="preserve">단타</t>
  </si>
  <si>
    <t xml:space="preserve">BB%</t>
  </si>
  <si>
    <t xml:space="preserve">K%</t>
  </si>
  <si>
    <t xml:space="preserve">가선수</t>
  </si>
  <si>
    <r>
      <rPr>
        <sz val="11"/>
        <color rgb="FF0000FF"/>
        <rFont val="Noto Sans KR"/>
        <family val="0"/>
        <charset val="1"/>
      </rPr>
      <t xml:space="preserve">2</t>
    </r>
    <r>
      <rPr>
        <sz val="11"/>
        <color rgb="FF0000FF"/>
        <rFont val="Noto Sans CJK SC"/>
        <family val="2"/>
      </rPr>
      <t xml:space="preserve">루타</t>
    </r>
  </si>
  <si>
    <t xml:space="preserve">나선수</t>
  </si>
  <si>
    <t xml:space="preserve">SS</t>
  </si>
  <si>
    <t xml:space="preserve">다선수</t>
  </si>
  <si>
    <t xml:space="preserve">1B</t>
  </si>
  <si>
    <t xml:space="preserve">라선수</t>
  </si>
  <si>
    <t xml:space="preserve">C</t>
  </si>
  <si>
    <t xml:space="preserve">마선수</t>
  </si>
  <si>
    <t xml:space="preserve">3B</t>
  </si>
  <si>
    <r>
      <rPr>
        <sz val="11"/>
        <color rgb="FF0000FF"/>
        <rFont val="Noto Sans KR"/>
        <family val="0"/>
        <charset val="1"/>
      </rPr>
      <t xml:space="preserve">3</t>
    </r>
    <r>
      <rPr>
        <sz val="11"/>
        <color rgb="FF0000FF"/>
        <rFont val="Noto Sans CJK SC"/>
        <family val="2"/>
      </rPr>
      <t xml:space="preserve">루타</t>
    </r>
  </si>
  <si>
    <t xml:space="preserve">바선수</t>
  </si>
  <si>
    <t xml:space="preserve">LF</t>
  </si>
  <si>
    <t xml:space="preserve">사선수</t>
  </si>
  <si>
    <t xml:space="preserve">RF</t>
  </si>
  <si>
    <t xml:space="preserve">아선수</t>
  </si>
  <si>
    <t xml:space="preserve">2B</t>
  </si>
  <si>
    <t xml:space="preserve">자선수</t>
  </si>
  <si>
    <t xml:space="preserve">DH</t>
  </si>
  <si>
    <t xml:space="preserve">차선수</t>
  </si>
  <si>
    <t xml:space="preserve">PH</t>
  </si>
  <si>
    <t xml:space="preserve">합계</t>
  </si>
  <si>
    <r>
      <rPr>
        <sz val="11"/>
        <color theme="1"/>
        <rFont val="Noto Sans CJK SC"/>
        <family val="2"/>
      </rPr>
      <t xml:space="preserve">추가 타석은 </t>
    </r>
    <r>
      <rPr>
        <sz val="11"/>
        <color theme="1"/>
        <rFont val="Calibri"/>
        <family val="0"/>
        <charset val="1"/>
      </rPr>
      <t xml:space="preserve">V:AA(7–12</t>
    </r>
    <r>
      <rPr>
        <sz val="11"/>
        <color theme="1"/>
        <rFont val="Noto Sans CJK SC"/>
        <family val="2"/>
      </rPr>
      <t xml:space="preserve">타석</t>
    </r>
    <r>
      <rPr>
        <sz val="11"/>
        <color theme="1"/>
        <rFont val="Calibri"/>
        <family val="0"/>
        <charset val="1"/>
      </rPr>
      <t xml:space="preserve">)</t>
    </r>
    <r>
      <rPr>
        <sz val="11"/>
        <color theme="1"/>
        <rFont val="Noto Sans CJK SC"/>
        <family val="2"/>
      </rPr>
      <t xml:space="preserve">에 입력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교체 선수는 </t>
    </r>
    <r>
      <rPr>
        <sz val="11"/>
        <color theme="1"/>
        <rFont val="Calibri"/>
        <family val="0"/>
        <charset val="1"/>
      </rPr>
      <t xml:space="preserve">11–16</t>
    </r>
    <r>
      <rPr>
        <sz val="11"/>
        <color theme="1"/>
        <rFont val="Noto Sans CJK SC"/>
        <family val="2"/>
      </rPr>
      <t xml:space="preserve">행에 별도 기록하고 타순은 원래 타순 사용</t>
    </r>
    <r>
      <rPr>
        <sz val="11"/>
        <color theme="1"/>
        <rFont val="Calibri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</si>
  <si>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낫아웃출루는 삼진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타수에 포함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포수방해는 타석에 포함하고 타수</t>
    </r>
    <r>
      <rPr>
        <sz val="11"/>
        <color theme="1"/>
        <rFont val="Calibri"/>
        <family val="0"/>
        <charset val="1"/>
      </rPr>
      <t xml:space="preserve">·OBP </t>
    </r>
    <r>
      <rPr>
        <sz val="11"/>
        <color theme="1"/>
        <rFont val="Noto Sans CJK SC"/>
        <family val="2"/>
      </rPr>
      <t xml:space="preserve">분모에서 제외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병살은 땅볼 병살타</t>
    </r>
    <r>
      <rPr>
        <sz val="11"/>
        <color theme="1"/>
        <rFont val="Calibri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</si>
  <si>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타율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비율은 반올림하지 않은 값으로 계산하고 화면에서만 반올림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팀 비율은 합계 분자</t>
    </r>
    <r>
      <rPr>
        <sz val="11"/>
        <color theme="1"/>
        <rFont val="Calibri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합계 분모로 계산</t>
    </r>
    <r>
      <rPr>
        <sz val="11"/>
        <color theme="1"/>
        <rFont val="Calibri"/>
        <family val="0"/>
        <charset val="1"/>
      </rPr>
      <t xml:space="preserve">.</t>
    </r>
  </si>
  <si>
    <t xml:space="preserve">결과</t>
  </si>
  <si>
    <t xml:space="preserve">아웃</t>
  </si>
  <si>
    <t xml:space="preserve">이닝</t>
  </si>
  <si>
    <t xml:space="preserve">투구수</t>
  </si>
  <si>
    <t xml:space="preserve">피안타</t>
  </si>
  <si>
    <t xml:space="preserve">실점</t>
  </si>
  <si>
    <t xml:space="preserve">자책</t>
  </si>
  <si>
    <t xml:space="preserve">피홈런</t>
  </si>
  <si>
    <t xml:space="preserve">ERA</t>
  </si>
  <si>
    <t xml:space="preserve">WHIP</t>
  </si>
  <si>
    <t xml:space="preserve">K/BB</t>
  </si>
  <si>
    <t xml:space="preserve">K/9</t>
  </si>
  <si>
    <t xml:space="preserve">BB/9</t>
  </si>
  <si>
    <t xml:space="preserve">이닝 표기</t>
  </si>
  <si>
    <t xml:space="preserve">입력 상태</t>
  </si>
  <si>
    <t xml:space="preserve">카선수</t>
  </si>
  <si>
    <t xml:space="preserve">승</t>
  </si>
  <si>
    <t xml:space="preserve">타선수</t>
  </si>
  <si>
    <t xml:space="preserve">홀</t>
  </si>
  <si>
    <t xml:space="preserve">파선수</t>
  </si>
  <si>
    <t xml:space="preserve">세</t>
  </si>
  <si>
    <r>
      <rPr>
        <sz val="11"/>
        <color rgb="FF64748B"/>
        <rFont val="Noto Sans CJK SC"/>
        <family val="2"/>
      </rPr>
      <t xml:space="preserve">아웃 수만 입력</t>
    </r>
    <r>
      <rPr>
        <sz val="11"/>
        <color rgb="FF64748B"/>
        <rFont val="Noto Sans KR"/>
        <family val="0"/>
        <charset val="1"/>
      </rPr>
      <t xml:space="preserve">. D</t>
    </r>
    <r>
      <rPr>
        <sz val="11"/>
        <color rgb="FF64748B"/>
        <rFont val="Noto Sans CJK SC"/>
        <family val="2"/>
      </rPr>
      <t xml:space="preserve">열은 실제 이닝</t>
    </r>
    <r>
      <rPr>
        <sz val="11"/>
        <color rgb="FF64748B"/>
        <rFont val="Noto Sans KR"/>
        <family val="0"/>
        <charset val="1"/>
      </rPr>
      <t xml:space="preserve">(8/3), R</t>
    </r>
    <r>
      <rPr>
        <sz val="11"/>
        <color rgb="FF64748B"/>
        <rFont val="Noto Sans CJK SC"/>
        <family val="2"/>
      </rPr>
      <t xml:space="preserve">열은 야구 표기</t>
    </r>
    <r>
      <rPr>
        <sz val="11"/>
        <color rgb="FF64748B"/>
        <rFont val="Noto Sans KR"/>
        <family val="0"/>
        <charset val="1"/>
      </rPr>
      <t xml:space="preserve">(2.2). ERA·WHIP</t>
    </r>
    <r>
      <rPr>
        <sz val="11"/>
        <color rgb="FF64748B"/>
        <rFont val="Noto Sans CJK SC"/>
        <family val="2"/>
      </rPr>
      <t xml:space="preserve">는 아웃 수로 계산</t>
    </r>
    <r>
      <rPr>
        <sz val="11"/>
        <color rgb="FF64748B"/>
        <rFont val="Noto Sans KR"/>
        <family val="0"/>
        <charset val="1"/>
      </rPr>
      <t xml:space="preserve">.</t>
    </r>
  </si>
  <si>
    <r>
      <rPr>
        <sz val="11"/>
        <color rgb="FF64748B"/>
        <rFont val="Noto Sans CJK SC"/>
        <family val="2"/>
      </rPr>
      <t xml:space="preserve">자책점은 실책</t>
    </r>
    <r>
      <rPr>
        <sz val="11"/>
        <color rgb="FF64748B"/>
        <rFont val="Noto Sans KR"/>
        <family val="0"/>
        <charset val="1"/>
      </rPr>
      <t xml:space="preserve">·</t>
    </r>
    <r>
      <rPr>
        <sz val="11"/>
        <color rgb="FF64748B"/>
        <rFont val="Noto Sans CJK SC"/>
        <family val="2"/>
      </rPr>
      <t xml:space="preserve">포일이 없었던 이닝을 재구성해 판정</t>
    </r>
    <r>
      <rPr>
        <sz val="11"/>
        <color rgb="FF64748B"/>
        <rFont val="Noto Sans KR"/>
        <family val="0"/>
        <charset val="1"/>
      </rPr>
      <t xml:space="preserve">. </t>
    </r>
    <r>
      <rPr>
        <sz val="11"/>
        <color rgb="FF64748B"/>
        <rFont val="Noto Sans CJK SC"/>
        <family val="2"/>
      </rPr>
      <t xml:space="preserve">미확정이면 빈칸으로 두고 주요 기록에 메모</t>
    </r>
    <r>
      <rPr>
        <sz val="11"/>
        <color rgb="FF64748B"/>
        <rFont val="Noto Sans KR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</si>
  <si>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이름이 있는 투수는 </t>
    </r>
    <r>
      <rPr>
        <sz val="11"/>
        <color theme="1"/>
        <rFont val="Calibri"/>
        <family val="0"/>
        <charset val="1"/>
      </rPr>
      <t xml:space="preserve">C</t>
    </r>
    <r>
      <rPr>
        <sz val="11"/>
        <color theme="1"/>
        <rFont val="Noto Sans CJK SC"/>
        <family val="2"/>
      </rPr>
      <t xml:space="preserve">열과 </t>
    </r>
    <r>
      <rPr>
        <sz val="11"/>
        <color theme="1"/>
        <rFont val="Calibri"/>
        <family val="0"/>
        <charset val="1"/>
      </rPr>
      <t xml:space="preserve">E:L</t>
    </r>
    <r>
      <rPr>
        <sz val="11"/>
        <color theme="1"/>
        <rFont val="Noto Sans CJK SC"/>
        <family val="2"/>
      </rPr>
      <t xml:space="preserve">열 모두 입력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기록 없음은 </t>
    </r>
    <r>
      <rPr>
        <sz val="11"/>
        <color theme="1"/>
        <rFont val="Calibri"/>
        <family val="0"/>
        <charset val="1"/>
      </rPr>
      <t xml:space="preserve">0). </t>
    </r>
    <r>
      <rPr>
        <sz val="11"/>
        <color theme="1"/>
        <rFont val="Noto Sans CJK SC"/>
        <family val="2"/>
      </rPr>
      <t xml:space="preserve">아웃 </t>
    </r>
    <r>
      <rPr>
        <sz val="11"/>
        <color theme="1"/>
        <rFont val="Calibri"/>
        <family val="0"/>
        <charset val="1"/>
      </rPr>
      <t xml:space="preserve">0</t>
    </r>
    <r>
      <rPr>
        <sz val="11"/>
        <color theme="1"/>
        <rFont val="Noto Sans CJK SC"/>
        <family val="2"/>
      </rPr>
      <t xml:space="preserve">개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볼넷 </t>
    </r>
    <r>
      <rPr>
        <sz val="11"/>
        <color theme="1"/>
        <rFont val="Calibri"/>
        <family val="0"/>
        <charset val="1"/>
      </rPr>
      <t xml:space="preserve">0</t>
    </r>
    <r>
      <rPr>
        <sz val="11"/>
        <color theme="1"/>
        <rFont val="Noto Sans CJK SC"/>
        <family val="2"/>
      </rPr>
      <t xml:space="preserve">개의 해당 비율은 </t>
    </r>
    <r>
      <rPr>
        <sz val="11"/>
        <color theme="1"/>
        <rFont val="Calibri"/>
        <family val="0"/>
        <charset val="1"/>
      </rPr>
      <t xml:space="preserve">n.a.</t>
    </r>
  </si>
  <si>
    <t xml:space="preserve">결승타</t>
  </si>
  <si>
    <r>
      <rPr>
        <sz val="11"/>
        <color rgb="FF0000FF"/>
        <rFont val="Noto Sans KR"/>
        <family val="0"/>
        <charset val="1"/>
      </rPr>
      <t xml:space="preserve">5</t>
    </r>
    <r>
      <rPr>
        <sz val="11"/>
        <color rgb="FF0000FF"/>
        <rFont val="Noto Sans CJK SC"/>
        <family val="2"/>
      </rPr>
      <t xml:space="preserve">회 </t>
    </r>
    <r>
      <rPr>
        <sz val="11"/>
        <color rgb="FF0000FF"/>
        <rFont val="Noto Sans KR"/>
        <family val="0"/>
        <charset val="1"/>
      </rPr>
      <t xml:space="preserve">1</t>
    </r>
    <r>
      <rPr>
        <sz val="11"/>
        <color rgb="FF0000FF"/>
        <rFont val="Noto Sans CJK SC"/>
        <family val="2"/>
      </rPr>
      <t xml:space="preserve">사 </t>
    </r>
    <r>
      <rPr>
        <sz val="11"/>
        <color rgb="FF0000FF"/>
        <rFont val="Noto Sans KR"/>
        <family val="0"/>
        <charset val="1"/>
      </rPr>
      <t xml:space="preserve">2</t>
    </r>
    <r>
      <rPr>
        <sz val="11"/>
        <color rgb="FF0000FF"/>
        <rFont val="Noto Sans CJK SC"/>
        <family val="2"/>
      </rPr>
      <t xml:space="preserve">루 가선수 </t>
    </r>
    <r>
      <rPr>
        <sz val="11"/>
        <color rgb="FF0000FF"/>
        <rFont val="Noto Sans KR"/>
        <family val="0"/>
        <charset val="1"/>
      </rPr>
      <t xml:space="preserve">2</t>
    </r>
    <r>
      <rPr>
        <sz val="11"/>
        <color rgb="FF0000FF"/>
        <rFont val="Noto Sans CJK SC"/>
        <family val="2"/>
      </rPr>
      <t xml:space="preserve">루타</t>
    </r>
  </si>
  <si>
    <r>
      <rPr>
        <b val="true"/>
        <sz val="11"/>
        <color rgb="FF141B3D"/>
        <rFont val="Noto Sans KR"/>
        <family val="0"/>
        <charset val="1"/>
      </rPr>
      <t xml:space="preserve">B</t>
    </r>
    <r>
      <rPr>
        <b val="true"/>
        <sz val="11"/>
        <color rgb="FF141B3D"/>
        <rFont val="Noto Sans CJK SC"/>
        <family val="2"/>
      </rPr>
      <t xml:space="preserve">열에 이닝</t>
    </r>
    <r>
      <rPr>
        <b val="true"/>
        <sz val="11"/>
        <color rgb="FF141B3D"/>
        <rFont val="Noto Sans KR"/>
        <family val="0"/>
        <charset val="1"/>
      </rPr>
      <t xml:space="preserve">·</t>
    </r>
    <r>
      <rPr>
        <b val="true"/>
        <sz val="11"/>
        <color rgb="FF141B3D"/>
        <rFont val="Noto Sans CJK SC"/>
        <family val="2"/>
      </rPr>
      <t xml:space="preserve">아웃</t>
    </r>
    <r>
      <rPr>
        <b val="true"/>
        <sz val="11"/>
        <color rgb="FF141B3D"/>
        <rFont val="Noto Sans KR"/>
        <family val="0"/>
        <charset val="1"/>
      </rPr>
      <t xml:space="preserve">·</t>
    </r>
    <r>
      <rPr>
        <b val="true"/>
        <sz val="11"/>
        <color rgb="FF141B3D"/>
        <rFont val="Noto Sans CJK SC"/>
        <family val="2"/>
      </rPr>
      <t xml:space="preserve">선수</t>
    </r>
    <r>
      <rPr>
        <b val="true"/>
        <sz val="11"/>
        <color rgb="FF141B3D"/>
        <rFont val="Noto Sans KR"/>
        <family val="0"/>
        <charset val="1"/>
      </rPr>
      <t xml:space="preserve">·</t>
    </r>
    <r>
      <rPr>
        <b val="true"/>
        <sz val="11"/>
        <color rgb="FF141B3D"/>
        <rFont val="Noto Sans CJK SC"/>
        <family val="2"/>
      </rPr>
      <t xml:space="preserve">플레이 결과</t>
    </r>
    <r>
      <rPr>
        <b val="true"/>
        <sz val="11"/>
        <color rgb="FF141B3D"/>
        <rFont val="Noto Sans KR"/>
        <family val="0"/>
        <charset val="1"/>
      </rPr>
      <t xml:space="preserve">·</t>
    </r>
    <r>
      <rPr>
        <b val="true"/>
        <sz val="11"/>
        <color rgb="FF141B3D"/>
        <rFont val="Noto Sans CJK SC"/>
        <family val="2"/>
      </rPr>
      <t xml:space="preserve">판정 근거 입력</t>
    </r>
    <r>
      <rPr>
        <b val="true"/>
        <sz val="11"/>
        <color rgb="FF141B3D"/>
        <rFont val="Noto Sans KR"/>
        <family val="0"/>
        <charset val="1"/>
      </rPr>
      <t xml:space="preserve">.</t>
    </r>
  </si>
  <si>
    <r>
      <rPr>
        <sz val="11"/>
        <color rgb="FF141B3D"/>
        <rFont val="Noto Sans KR"/>
        <family val="0"/>
        <charset val="1"/>
      </rPr>
      <t xml:space="preserve">2</t>
    </r>
    <r>
      <rPr>
        <sz val="11"/>
        <color rgb="FF141B3D"/>
        <rFont val="Noto Sans CJK SC"/>
        <family val="2"/>
      </rPr>
      <t xml:space="preserve">루타</t>
    </r>
  </si>
  <si>
    <r>
      <rPr>
        <sz val="11"/>
        <color rgb="FF64748B"/>
        <rFont val="Noto Sans CJK SC"/>
        <family val="2"/>
      </rPr>
      <t xml:space="preserve">투수 교체 시 잔류 주자와 책임 투수</t>
    </r>
    <r>
      <rPr>
        <sz val="11"/>
        <color rgb="FF64748B"/>
        <rFont val="Noto Sans KR"/>
        <family val="0"/>
        <charset val="1"/>
      </rPr>
      <t xml:space="preserve">, </t>
    </r>
    <r>
      <rPr>
        <sz val="11"/>
        <color rgb="FF64748B"/>
        <rFont val="Noto Sans CJK SC"/>
        <family val="2"/>
      </rPr>
      <t xml:space="preserve">자책점 미확정 장면은 필수 메모</t>
    </r>
    <r>
      <rPr>
        <sz val="11"/>
        <color rgb="FF64748B"/>
        <rFont val="Noto Sans KR"/>
        <family val="0"/>
        <charset val="1"/>
      </rPr>
      <t xml:space="preserve">.</t>
    </r>
  </si>
  <si>
    <r>
      <rPr>
        <sz val="11"/>
        <color rgb="FF141B3D"/>
        <rFont val="Noto Sans KR"/>
        <family val="0"/>
        <charset val="1"/>
      </rPr>
      <t xml:space="preserve">3</t>
    </r>
    <r>
      <rPr>
        <sz val="11"/>
        <color rgb="FF141B3D"/>
        <rFont val="Noto Sans CJK SC"/>
        <family val="2"/>
      </rPr>
      <t xml:space="preserve">루타</t>
    </r>
  </si>
  <si>
    <r>
      <rPr>
        <sz val="11"/>
        <color rgb="FF141B3D"/>
        <rFont val="Noto Sans CJK SC"/>
        <family val="2"/>
      </rPr>
      <t xml:space="preserve">주루</t>
    </r>
    <r>
      <rPr>
        <sz val="11"/>
        <color rgb="FF141B3D"/>
        <rFont val="Noto Sans KR"/>
        <family val="0"/>
        <charset val="1"/>
      </rPr>
      <t xml:space="preserve">·</t>
    </r>
    <r>
      <rPr>
        <sz val="11"/>
        <color rgb="FF141B3D"/>
        <rFont val="Noto Sans CJK SC"/>
        <family val="2"/>
      </rPr>
      <t xml:space="preserve">도루</t>
    </r>
  </si>
  <si>
    <t xml:space="preserve">실책</t>
  </si>
  <si>
    <t xml:space="preserve">주루사</t>
  </si>
  <si>
    <r>
      <rPr>
        <sz val="11"/>
        <color rgb="FF64748B"/>
        <rFont val="Noto Sans CJK SC"/>
        <family val="2"/>
      </rPr>
      <t xml:space="preserve">비어 있는 항목은 저장되지 않으니 억지로 채우지 않아도 됩니다</t>
    </r>
    <r>
      <rPr>
        <sz val="11"/>
        <color rgb="FF64748B"/>
        <rFont val="Noto Sans KR"/>
        <family val="0"/>
        <charset val="1"/>
      </rPr>
      <t xml:space="preserve">.</t>
    </r>
  </si>
  <si>
    <t xml:space="preserve">견제사</t>
  </si>
  <si>
    <t xml:space="preserve">폭투</t>
  </si>
  <si>
    <t xml:space="preserve">투수 교체 판단</t>
  </si>
  <si>
    <t xml:space="preserve">특이사항</t>
  </si>
  <si>
    <t xml:space="preserve">기록 검수</t>
  </si>
  <si>
    <r>
      <rPr>
        <sz val="11"/>
        <color theme="1"/>
        <rFont val="Noto Sans CJK SC"/>
        <family val="2"/>
      </rPr>
      <t xml:space="preserve">숫자 대조와 플레이 판정은 별도로 확인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빈 필수 입력은 통과로 처리하지 않음</t>
    </r>
    <r>
      <rPr>
        <sz val="11"/>
        <color theme="1"/>
        <rFont val="Calibri"/>
        <family val="0"/>
        <charset val="1"/>
      </rPr>
      <t xml:space="preserve">.</t>
    </r>
  </si>
  <si>
    <t xml:space="preserve">확인 항목</t>
  </si>
  <si>
    <t xml:space="preserve">기준값</t>
  </si>
  <si>
    <t xml:space="preserve">기록값</t>
  </si>
  <si>
    <t xml:space="preserve">차이</t>
  </si>
  <si>
    <t xml:space="preserve">상태</t>
  </si>
  <si>
    <t xml:space="preserve">확인 위치</t>
  </si>
  <si>
    <t xml:space="preserve">우리 점수 대조</t>
  </si>
  <si>
    <r>
      <rPr>
        <sz val="11"/>
        <color theme="1"/>
        <rFont val="Noto Sans CJK SC"/>
        <family val="2"/>
      </rPr>
      <t xml:space="preserve">경기 정보 </t>
    </r>
    <r>
      <rPr>
        <sz val="11"/>
        <color theme="1"/>
        <rFont val="Calibri"/>
        <family val="0"/>
        <charset val="1"/>
      </rPr>
      <t xml:space="preserve">C8 / </t>
    </r>
    <r>
      <rPr>
        <sz val="11"/>
        <color theme="1"/>
        <rFont val="Noto Sans CJK SC"/>
        <family val="2"/>
      </rPr>
      <t xml:space="preserve">타자 기록 </t>
    </r>
    <r>
      <rPr>
        <sz val="11"/>
        <color theme="1"/>
        <rFont val="Calibri"/>
        <family val="0"/>
        <charset val="1"/>
      </rPr>
      <t xml:space="preserve">J</t>
    </r>
  </si>
  <si>
    <t xml:space="preserve">상대 점수 대조</t>
  </si>
  <si>
    <r>
      <rPr>
        <sz val="11"/>
        <color theme="1"/>
        <rFont val="Noto Sans CJK SC"/>
        <family val="2"/>
      </rPr>
      <t xml:space="preserve">경기 정보 </t>
    </r>
    <r>
      <rPr>
        <sz val="11"/>
        <color theme="1"/>
        <rFont val="Calibri"/>
        <family val="0"/>
        <charset val="1"/>
      </rPr>
      <t xml:space="preserve">C9 / </t>
    </r>
    <r>
      <rPr>
        <sz val="11"/>
        <color theme="1"/>
        <rFont val="Noto Sans CJK SC"/>
        <family val="2"/>
      </rPr>
      <t xml:space="preserve">투수 기록 </t>
    </r>
    <r>
      <rPr>
        <sz val="11"/>
        <color theme="1"/>
        <rFont val="Calibri"/>
        <family val="0"/>
        <charset val="1"/>
      </rPr>
      <t xml:space="preserve">G</t>
    </r>
  </si>
  <si>
    <t xml:space="preserve">수비 아웃 수 대조</t>
  </si>
  <si>
    <r>
      <rPr>
        <sz val="11"/>
        <color theme="1"/>
        <rFont val="Noto Sans CJK SC"/>
        <family val="2"/>
      </rPr>
      <t xml:space="preserve">경기 정보 </t>
    </r>
    <r>
      <rPr>
        <sz val="11"/>
        <color theme="1"/>
        <rFont val="Calibri"/>
        <family val="0"/>
        <charset val="1"/>
      </rPr>
      <t xml:space="preserve">C10 / </t>
    </r>
    <r>
      <rPr>
        <sz val="11"/>
        <color theme="1"/>
        <rFont val="Noto Sans CJK SC"/>
        <family val="2"/>
      </rPr>
      <t xml:space="preserve">투수 기록 </t>
    </r>
    <r>
      <rPr>
        <sz val="11"/>
        <color theme="1"/>
        <rFont val="Calibri"/>
        <family val="0"/>
        <charset val="1"/>
      </rPr>
      <t xml:space="preserve">C</t>
    </r>
  </si>
  <si>
    <t xml:space="preserve">타점 합계 ≤ 득점 합계</t>
  </si>
  <si>
    <r>
      <rPr>
        <sz val="11"/>
        <color theme="1"/>
        <rFont val="Noto Sans CJK SC"/>
        <family val="2"/>
      </rPr>
      <t xml:space="preserve">타자 기록 </t>
    </r>
    <r>
      <rPr>
        <sz val="11"/>
        <color theme="1"/>
        <rFont val="Calibri"/>
        <family val="0"/>
        <charset val="1"/>
      </rPr>
      <t xml:space="preserve">J:K</t>
    </r>
  </si>
  <si>
    <t xml:space="preserve">타석 분해 일치</t>
  </si>
  <si>
    <t xml:space="preserve">PA = AB + BB + HBP + SF + SH + CI</t>
  </si>
  <si>
    <r>
      <rPr>
        <sz val="11"/>
        <color theme="1"/>
        <rFont val="Noto Sans CJK SC"/>
        <family val="2"/>
      </rPr>
      <t xml:space="preserve">타자 명단 </t>
    </r>
    <r>
      <rPr>
        <sz val="11"/>
        <color theme="1"/>
        <rFont val="Calibri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명 이상</t>
    </r>
  </si>
  <si>
    <t xml:space="preserve">교체 선수는 별도 행</t>
  </si>
  <si>
    <r>
      <rPr>
        <sz val="11"/>
        <color theme="1"/>
        <rFont val="Noto Sans CJK SC"/>
        <family val="2"/>
      </rPr>
      <t xml:space="preserve">투수 명단 </t>
    </r>
    <r>
      <rPr>
        <sz val="11"/>
        <color theme="1"/>
        <rFont val="Calibri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명 이상</t>
    </r>
  </si>
  <si>
    <r>
      <rPr>
        <sz val="11"/>
        <color theme="1"/>
        <rFont val="Noto Sans CJK SC"/>
        <family val="2"/>
      </rPr>
      <t xml:space="preserve">투수 기록 </t>
    </r>
    <r>
      <rPr>
        <sz val="11"/>
        <color theme="1"/>
        <rFont val="Calibri"/>
        <family val="0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</si>
  <si>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선발 타순 </t>
    </r>
    <r>
      <rPr>
        <sz val="11"/>
        <color theme="1"/>
        <rFont val="Calibri"/>
        <family val="0"/>
        <charset val="1"/>
      </rPr>
      <t xml:space="preserve">1–9 </t>
    </r>
    <r>
      <rPr>
        <sz val="11"/>
        <color theme="1"/>
        <rFont val="Noto Sans CJK SC"/>
        <family val="2"/>
      </rPr>
      <t xml:space="preserve">각 </t>
    </r>
    <r>
      <rPr>
        <sz val="11"/>
        <color theme="1"/>
        <rFont val="Calibri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회</t>
    </r>
  </si>
  <si>
    <r>
      <rPr>
        <sz val="11"/>
        <color theme="1"/>
        <rFont val="Calibri"/>
        <family val="0"/>
        <charset val="1"/>
      </rPr>
      <t xml:space="preserve">2–10</t>
    </r>
    <r>
      <rPr>
        <sz val="11"/>
        <color theme="1"/>
        <rFont val="Noto Sans CJK SC"/>
        <family val="2"/>
      </rPr>
      <t xml:space="preserve">행 선발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교체 행의 같은 타순은 허용</t>
    </r>
    <r>
      <rPr>
        <sz val="11"/>
        <color theme="1"/>
        <rFont val="Calibri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</si>
  <si>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승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패 표기와 점수 일치</t>
    </r>
  </si>
  <si>
    <r>
      <rPr>
        <sz val="11"/>
        <color theme="1"/>
        <rFont val="Noto Sans CJK SC"/>
        <family val="2"/>
      </rPr>
      <t xml:space="preserve">무승부</t>
    </r>
    <r>
      <rPr>
        <sz val="11"/>
        <color theme="1"/>
        <rFont val="Calibri"/>
        <family val="0"/>
        <charset val="1"/>
      </rPr>
      <t xml:space="preserve">: </t>
    </r>
    <r>
      <rPr>
        <sz val="11"/>
        <color theme="1"/>
        <rFont val="Noto Sans CJK SC"/>
        <family val="2"/>
      </rPr>
      <t xml:space="preserve">승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패 없음</t>
    </r>
  </si>
  <si>
    <t xml:space="preserve">경기 필수 정보 입력</t>
  </si>
  <si>
    <r>
      <rPr>
        <sz val="11"/>
        <color theme="1"/>
        <rFont val="Noto Sans CJK SC"/>
        <family val="2"/>
      </rPr>
      <t xml:space="preserve">날짜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상대팀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양 팀 점수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수비 이닝</t>
    </r>
  </si>
  <si>
    <t xml:space="preserve">목록 밖 타석 결과 없음</t>
  </si>
  <si>
    <t xml:space="preserve">붙여넣기 입력도 목록과 대조</t>
  </si>
  <si>
    <t xml:space="preserve">이름 없는 타자 입력 없음</t>
  </si>
  <si>
    <r>
      <rPr>
        <sz val="11"/>
        <color theme="1"/>
        <rFont val="Noto Sans CJK SC"/>
        <family val="2"/>
      </rPr>
      <t xml:space="preserve">타자 기록 이름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타석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주루 기록</t>
    </r>
  </si>
  <si>
    <r>
      <rPr>
        <sz val="11"/>
        <color theme="1"/>
        <rFont val="Noto Sans CJK SC"/>
        <family val="2"/>
      </rPr>
      <t xml:space="preserve">자책점 ≤ 실점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행별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</si>
  <si>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투수 기록 </t>
    </r>
    <r>
      <rPr>
        <sz val="11"/>
        <color theme="1"/>
        <rFont val="Calibri"/>
        <family val="0"/>
        <charset val="1"/>
      </rPr>
      <t xml:space="preserve">G:H</t>
    </r>
  </si>
  <si>
    <r>
      <rPr>
        <sz val="11"/>
        <color theme="1"/>
        <rFont val="Noto Sans CJK SC"/>
        <family val="2"/>
      </rPr>
      <t xml:space="preserve">피홈런 ≤ 피안타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행별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</si>
  <si>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투수 기록 </t>
    </r>
    <r>
      <rPr>
        <sz val="11"/>
        <color theme="1"/>
        <rFont val="Calibri"/>
        <family val="0"/>
        <charset val="1"/>
      </rPr>
      <t xml:space="preserve">F:L</t>
    </r>
  </si>
  <si>
    <t xml:space="preserve">투수 필수 숫자 입력 완료</t>
  </si>
  <si>
    <r>
      <rPr>
        <sz val="11"/>
        <color theme="1"/>
        <rFont val="Calibri"/>
        <family val="0"/>
        <charset val="1"/>
      </rPr>
      <t xml:space="preserve">C </t>
    </r>
    <r>
      <rPr>
        <sz val="11"/>
        <color theme="1"/>
        <rFont val="Noto Sans CJK SC"/>
        <family val="2"/>
      </rPr>
      <t xml:space="preserve">및 </t>
    </r>
    <r>
      <rPr>
        <sz val="11"/>
        <color theme="1"/>
        <rFont val="Calibri"/>
        <family val="0"/>
        <charset val="1"/>
      </rPr>
      <t xml:space="preserve">E:L = </t>
    </r>
    <r>
      <rPr>
        <sz val="11"/>
        <color theme="1"/>
        <rFont val="Noto Sans CJK SC"/>
        <family val="2"/>
      </rPr>
      <t xml:space="preserve">총 </t>
    </r>
    <r>
      <rPr>
        <sz val="11"/>
        <color theme="1"/>
        <rFont val="Calibri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칸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기록 없으면 </t>
    </r>
    <r>
      <rPr>
        <sz val="11"/>
        <color theme="1"/>
        <rFont val="Calibri"/>
        <family val="0"/>
        <charset val="1"/>
      </rPr>
      <t xml:space="preserve">0</t>
    </r>
  </si>
  <si>
    <t xml:space="preserve">수비 이닝 표기 유효</t>
  </si>
  <si>
    <r>
      <rPr>
        <sz val="11"/>
        <color theme="1"/>
        <rFont val="Noto Sans CJK SC"/>
        <family val="2"/>
      </rPr>
      <t xml:space="preserve">정수 또는 </t>
    </r>
    <r>
      <rPr>
        <sz val="11"/>
        <color theme="1"/>
        <rFont val="Calibri"/>
        <family val="0"/>
        <charset val="1"/>
      </rPr>
      <t xml:space="preserve">.1 / .2</t>
    </r>
    <r>
      <rPr>
        <sz val="11"/>
        <color theme="1"/>
        <rFont val="Noto Sans CJK SC"/>
        <family val="2"/>
      </rPr>
      <t xml:space="preserve">만 사용</t>
    </r>
  </si>
  <si>
    <r>
      <rPr>
        <sz val="11"/>
        <color theme="1"/>
        <rFont val="Noto Sans CJK SC"/>
        <family val="2"/>
      </rPr>
      <t xml:space="preserve">안타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실책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타점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자책점</t>
    </r>
  </si>
  <si>
    <t xml:space="preserve">교차 기록 또는 재확인</t>
  </si>
  <si>
    <r>
      <rPr>
        <sz val="11"/>
        <color theme="1"/>
        <rFont val="Noto Sans CJK SC"/>
        <family val="2"/>
      </rPr>
      <t xml:space="preserve">경기 정보 </t>
    </r>
    <r>
      <rPr>
        <sz val="11"/>
        <color theme="1"/>
        <rFont val="Calibri"/>
        <family val="0"/>
        <charset val="1"/>
      </rPr>
      <t xml:space="preserve">C26</t>
    </r>
  </si>
  <si>
    <r>
      <rPr>
        <sz val="11"/>
        <color theme="1"/>
        <rFont val="Noto Sans CJK SC"/>
        <family val="2"/>
      </rPr>
      <t xml:space="preserve">검수 담당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완료일 입력</t>
    </r>
  </si>
  <si>
    <r>
      <rPr>
        <sz val="11"/>
        <color theme="1"/>
        <rFont val="Noto Sans CJK SC"/>
        <family val="2"/>
      </rPr>
      <t xml:space="preserve">기록원 </t>
    </r>
    <r>
      <rPr>
        <sz val="11"/>
        <color theme="1"/>
        <rFont val="Calibri"/>
        <family val="0"/>
        <charset val="1"/>
      </rPr>
      <t xml:space="preserve">A / 1·2</t>
    </r>
    <r>
      <rPr>
        <sz val="11"/>
        <color theme="1"/>
        <rFont val="Noto Sans CJK SC"/>
        <family val="2"/>
      </rPr>
      <t xml:space="preserve">차 검수 </t>
    </r>
    <r>
      <rPr>
        <sz val="11"/>
        <color theme="1"/>
        <rFont val="Calibri"/>
        <family val="0"/>
        <charset val="1"/>
      </rPr>
      <t xml:space="preserve">/ </t>
    </r>
    <r>
      <rPr>
        <sz val="11"/>
        <color theme="1"/>
        <rFont val="Noto Sans CJK SC"/>
        <family val="2"/>
      </rPr>
      <t xml:space="preserve">완료일</t>
    </r>
  </si>
  <si>
    <r>
      <rPr>
        <sz val="11"/>
        <color theme="1"/>
        <rFont val="Calibri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일 이내 검수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시스템 입력</t>
    </r>
  </si>
  <si>
    <r>
      <rPr>
        <sz val="11"/>
        <color theme="1"/>
        <rFont val="Noto Sans CJK SC"/>
        <family val="2"/>
      </rPr>
      <t xml:space="preserve">완료일은 경기일 이상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경기일</t>
    </r>
    <r>
      <rPr>
        <sz val="11"/>
        <color theme="1"/>
        <rFont val="Calibri"/>
        <family val="0"/>
        <charset val="1"/>
      </rPr>
      <t xml:space="preserve">+3 </t>
    </r>
    <r>
      <rPr>
        <sz val="11"/>
        <color theme="1"/>
        <rFont val="Noto Sans CJK SC"/>
        <family val="2"/>
      </rPr>
      <t xml:space="preserve">이하</t>
    </r>
  </si>
  <si>
    <r>
      <rPr>
        <sz val="11"/>
        <color theme="1"/>
        <rFont val="Noto Sans CJK SC"/>
        <family val="2"/>
      </rPr>
      <t xml:space="preserve">음수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소수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문자 숫자 입력 없음</t>
    </r>
  </si>
  <si>
    <r>
      <rPr>
        <sz val="11"/>
        <color theme="1"/>
        <rFont val="Noto Sans CJK SC"/>
        <family val="2"/>
      </rPr>
      <t xml:space="preserve">입력 수치는 </t>
    </r>
    <r>
      <rPr>
        <sz val="11"/>
        <color theme="1"/>
        <rFont val="Calibri"/>
        <family val="0"/>
        <charset val="1"/>
      </rPr>
      <t xml:space="preserve">0 </t>
    </r>
    <r>
      <rPr>
        <sz val="11"/>
        <color theme="1"/>
        <rFont val="Noto Sans CJK SC"/>
        <family val="2"/>
      </rPr>
      <t xml:space="preserve">이상의 정수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붙여넣기 포함</t>
    </r>
    <r>
      <rPr>
        <sz val="11"/>
        <color theme="1"/>
        <rFont val="Calibri"/>
        <family val="0"/>
        <charset val="1"/>
      </rPr>
      <t xml:space="preserve">.</t>
    </r>
  </si>
  <si>
    <t xml:space="preserve">이름 없는 투수 입력 없음</t>
  </si>
  <si>
    <r>
      <rPr>
        <sz val="11"/>
        <color theme="1"/>
        <rFont val="Noto Sans CJK SC"/>
        <family val="2"/>
      </rPr>
      <t xml:space="preserve">투수 이름 없이 결과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숫자 입력 금지</t>
    </r>
    <r>
      <rPr>
        <sz val="11"/>
        <color theme="1"/>
        <rFont val="Calibri"/>
        <family val="0"/>
        <charset val="1"/>
      </rPr>
      <t xml:space="preserve">.</t>
    </r>
  </si>
  <si>
    <t xml:space="preserve">검수 요약</t>
  </si>
  <si>
    <r>
      <rPr>
        <sz val="11"/>
        <color theme="1"/>
        <rFont val="Calibri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차</t>
    </r>
    <r>
      <rPr>
        <sz val="11"/>
        <color theme="1"/>
        <rFont val="Calibri"/>
        <family val="0"/>
        <charset val="1"/>
      </rPr>
      <t xml:space="preserve">: </t>
    </r>
    <r>
      <rPr>
        <sz val="11"/>
        <color theme="1"/>
        <rFont val="Noto Sans CJK SC"/>
        <family val="2"/>
      </rPr>
      <t xml:space="preserve">숫자 대조 및 입력 누락 수정</t>
    </r>
    <r>
      <rPr>
        <sz val="11"/>
        <color theme="1"/>
        <rFont val="Calibri"/>
        <family val="0"/>
        <charset val="1"/>
      </rPr>
      <t xml:space="preserve">. 2</t>
    </r>
    <r>
      <rPr>
        <sz val="11"/>
        <color theme="1"/>
        <rFont val="Noto Sans CJK SC"/>
        <family val="2"/>
      </rPr>
      <t xml:space="preserve">차</t>
    </r>
    <r>
      <rPr>
        <sz val="11"/>
        <color theme="1"/>
        <rFont val="Calibri"/>
        <family val="0"/>
        <charset val="1"/>
      </rPr>
      <t xml:space="preserve">: </t>
    </r>
    <r>
      <rPr>
        <sz val="11"/>
        <color theme="1"/>
        <rFont val="Noto Sans CJK SC"/>
        <family val="2"/>
      </rPr>
      <t xml:space="preserve">단장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감독의 플레이 판정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운영 해석 확인</t>
    </r>
    <r>
      <rPr>
        <sz val="11"/>
        <color theme="1"/>
        <rFont val="Calibri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</si>
  <si>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가능하면 </t>
    </r>
    <r>
      <rPr>
        <sz val="11"/>
        <color theme="1"/>
        <rFont val="Calibri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인 교차 기록</t>
    </r>
    <r>
      <rPr>
        <sz val="11"/>
        <color theme="1"/>
        <rFont val="Calibri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경기 직후 대조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경기 종료 후 </t>
    </r>
    <r>
      <rPr>
        <sz val="11"/>
        <color theme="1"/>
        <rFont val="Calibri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일 이내 검수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시스템 입력 완료</t>
    </r>
    <r>
      <rPr>
        <sz val="11"/>
        <color theme="1"/>
        <rFont val="Calibri"/>
        <family val="0"/>
        <charset val="1"/>
      </rPr>
      <t xml:space="preserve">.</t>
    </r>
  </si>
  <si>
    <t xml:space="preserve">수정 이력</t>
  </si>
  <si>
    <t xml:space="preserve">일자</t>
  </si>
  <si>
    <t xml:space="preserve">수정자</t>
  </si>
  <si>
    <t xml:space="preserve">위치</t>
  </si>
  <si>
    <r>
      <rPr>
        <b val="true"/>
        <sz val="11"/>
        <color rgb="FFFFFFFF"/>
        <rFont val="Noto Sans CJK SC"/>
        <family val="2"/>
      </rPr>
      <t xml:space="preserve">변경 전 </t>
    </r>
    <r>
      <rPr>
        <b val="true"/>
        <sz val="11"/>
        <color rgb="FFFFFFFF"/>
        <rFont val="Noto Sans KR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후</t>
    </r>
  </si>
  <si>
    <t xml:space="preserve">수정 근거</t>
  </si>
  <si>
    <r>
      <rPr>
        <b val="true"/>
        <sz val="16"/>
        <color rgb="FF17243B"/>
        <rFont val="Noto Sans KR"/>
        <family val="0"/>
        <charset val="1"/>
      </rPr>
      <t xml:space="preserve">UTAH DEVILS </t>
    </r>
    <r>
      <rPr>
        <b val="true"/>
        <sz val="16"/>
        <color rgb="FF17243B"/>
        <rFont val="Noto Sans CJK SC"/>
        <family val="2"/>
      </rPr>
      <t xml:space="preserve">경기 요약</t>
    </r>
  </si>
  <si>
    <t xml:space="preserve">값</t>
  </si>
  <si>
    <t xml:space="preserve">공격 지표</t>
  </si>
  <si>
    <t xml:space="preserve">투수 지표</t>
  </si>
  <si>
    <t xml:space="preserve">PA</t>
  </si>
  <si>
    <t xml:space="preserve">수비 아웃</t>
  </si>
  <si>
    <t xml:space="preserve">AB</t>
  </si>
  <si>
    <t xml:space="preserve">실제 이닝</t>
  </si>
  <si>
    <r>
      <rPr>
        <sz val="11"/>
        <color rgb="FF17243B"/>
        <rFont val="Noto Sans CJK SC"/>
        <family val="2"/>
      </rPr>
      <t xml:space="preserve">홈 </t>
    </r>
    <r>
      <rPr>
        <sz val="11"/>
        <color rgb="FF17243B"/>
        <rFont val="Noto Sans KR"/>
        <family val="0"/>
        <charset val="1"/>
      </rPr>
      <t xml:space="preserve">/ </t>
    </r>
    <r>
      <rPr>
        <sz val="11"/>
        <color rgb="FF17243B"/>
        <rFont val="Noto Sans CJK SC"/>
        <family val="2"/>
      </rPr>
      <t xml:space="preserve">원정</t>
    </r>
  </si>
  <si>
    <t xml:space="preserve">H</t>
  </si>
  <si>
    <t xml:space="preserve">야구 이닝 표기</t>
  </si>
  <si>
    <t xml:space="preserve">AVG</t>
  </si>
  <si>
    <t xml:space="preserve">OBP</t>
  </si>
  <si>
    <r>
      <rPr>
        <sz val="11"/>
        <color rgb="FF17243B"/>
        <rFont val="Noto Sans CJK SC"/>
        <family val="2"/>
      </rPr>
      <t xml:space="preserve">검수</t>
    </r>
    <r>
      <rPr>
        <sz val="11"/>
        <color rgb="FF17243B"/>
        <rFont val="Noto Sans KR"/>
        <family val="0"/>
        <charset val="1"/>
      </rPr>
      <t xml:space="preserve">·</t>
    </r>
    <r>
      <rPr>
        <sz val="11"/>
        <color rgb="FF17243B"/>
        <rFont val="Noto Sans CJK SC"/>
        <family val="2"/>
      </rPr>
      <t xml:space="preserve">입력 마감일</t>
    </r>
  </si>
  <si>
    <t xml:space="preserve">SLG</t>
  </si>
  <si>
    <t xml:space="preserve">경기 결과</t>
  </si>
  <si>
    <t xml:space="preserve">타격 구성</t>
  </si>
  <si>
    <t xml:space="preserve">횟수</t>
  </si>
  <si>
    <t xml:space="preserve">경기 리뷰</t>
  </si>
  <si>
    <r>
      <rPr>
        <sz val="11"/>
        <color rgb="FF17243B"/>
        <rFont val="Noto Sans KR"/>
        <family val="0"/>
        <charset val="1"/>
      </rPr>
      <t xml:space="preserve">2</t>
    </r>
    <r>
      <rPr>
        <sz val="11"/>
        <color rgb="FF17243B"/>
        <rFont val="Noto Sans CJK SC"/>
        <family val="2"/>
      </rPr>
      <t xml:space="preserve">루타</t>
    </r>
  </si>
  <si>
    <t xml:space="preserve">잘한 점</t>
  </si>
  <si>
    <r>
      <rPr>
        <sz val="11"/>
        <color rgb="FF17243B"/>
        <rFont val="Noto Sans KR"/>
        <family val="0"/>
        <charset val="1"/>
      </rPr>
      <t xml:space="preserve">3</t>
    </r>
    <r>
      <rPr>
        <sz val="11"/>
        <color rgb="FF17243B"/>
        <rFont val="Noto Sans CJK SC"/>
        <family val="2"/>
      </rPr>
      <t xml:space="preserve">루타</t>
    </r>
  </si>
  <si>
    <t xml:space="preserve">보완할 점</t>
  </si>
  <si>
    <t xml:space="preserve">다음 훈련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</si>
</sst>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General"/>
    <numFmt numFmtId="167" formatCode="0.000"/>
    <numFmt numFmtId="168" formatCode="0.0%"/>
    <numFmt numFmtId="169" formatCode="0.00"/>
    <numFmt numFmtId="170" formatCode="0;[RED]\(0\);0"/>
  </numFmts>
  <fonts count="3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41B3D"/>
      <name val="Noto Sans KR"/>
      <family val="0"/>
      <charset val="1"/>
    </font>
    <font>
      <b val="true"/>
      <sz val="11"/>
      <color rgb="FF141B3D"/>
      <name val="Noto Sans CJK SC"/>
      <family val="2"/>
    </font>
    <font>
      <sz val="11"/>
      <color theme="1"/>
      <name val="Noto Sans KR"/>
      <family val="0"/>
      <charset val="1"/>
    </font>
    <font>
      <sz val="11"/>
      <color rgb="FF64748B"/>
      <name val="Noto Sans CJK SC"/>
      <family val="2"/>
    </font>
    <font>
      <sz val="11"/>
      <color rgb="FF64748B"/>
      <name val="Noto Sans KR"/>
      <family val="0"/>
      <charset val="1"/>
    </font>
    <font>
      <sz val="11"/>
      <color theme="1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DC2626"/>
      <name val="Noto Sans CJK SC"/>
      <family val="2"/>
    </font>
    <font>
      <b val="true"/>
      <sz val="11"/>
      <color rgb="FFDC2626"/>
      <name val="Noto Sans KR"/>
      <family val="0"/>
      <charset val="1"/>
    </font>
    <font>
      <b val="true"/>
      <sz val="11"/>
      <color rgb="FFFFFFFF"/>
      <name val="Noto Sans KR"/>
      <family val="0"/>
      <charset val="1"/>
    </font>
    <font>
      <sz val="11"/>
      <color rgb="FF0000FF"/>
      <name val="Noto Sans KR"/>
      <family val="0"/>
      <charset val="1"/>
    </font>
    <font>
      <sz val="11"/>
      <color rgb="FF0000FF"/>
      <name val="Noto Sans CJK SC"/>
      <family val="2"/>
    </font>
    <font>
      <sz val="11"/>
      <color rgb="FF475569"/>
      <name val="Noto Sans KR"/>
      <family val="0"/>
      <charset val="1"/>
    </font>
    <font>
      <sz val="11"/>
      <color rgb="FF0000FF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Noto Sans KR"/>
      <family val="0"/>
      <charset val="1"/>
    </font>
    <font>
      <b val="true"/>
      <sz val="11"/>
      <color theme="1"/>
      <name val="Noto Sans KR"/>
      <family val="0"/>
      <charset val="1"/>
    </font>
    <font>
      <b val="true"/>
      <sz val="11"/>
      <color rgb="FF000000"/>
      <name val="Noto Sans KR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8000"/>
      <name val="Noto Sans KR"/>
      <family val="0"/>
      <charset val="1"/>
    </font>
    <font>
      <b val="true"/>
      <sz val="11"/>
      <color rgb="FF008000"/>
      <name val="Noto Sans KR"/>
      <family val="0"/>
      <charset val="1"/>
    </font>
    <font>
      <sz val="11"/>
      <color rgb="FF141B3D"/>
      <name val="Noto Sans CJK SC"/>
      <family val="2"/>
    </font>
    <font>
      <sz val="11"/>
      <color rgb="FF141B3D"/>
      <name val="Noto Sans KR"/>
      <family val="0"/>
      <charset val="1"/>
    </font>
    <font>
      <sz val="11"/>
      <color rgb="FF17243B"/>
      <name val="Calibri"/>
      <family val="0"/>
      <charset val="1"/>
    </font>
    <font>
      <sz val="11"/>
      <color rgb="FF008000"/>
      <name val="Calibri"/>
      <family val="0"/>
      <charset val="1"/>
    </font>
    <font>
      <b val="true"/>
      <sz val="16"/>
      <color rgb="FF17243B"/>
      <name val="Noto Sans KR"/>
      <family val="0"/>
      <charset val="1"/>
    </font>
    <font>
      <b val="true"/>
      <sz val="16"/>
      <color rgb="FF17243B"/>
      <name val="Noto Sans CJK SC"/>
      <family val="2"/>
    </font>
    <font>
      <sz val="11"/>
      <color rgb="FF17243B"/>
      <name val="Noto Sans KR"/>
      <family val="0"/>
      <charset val="1"/>
    </font>
    <font>
      <sz val="11"/>
      <color rgb="FF17243B"/>
      <name val="Noto Sans CJK SC"/>
      <family val="2"/>
    </font>
  </fonts>
  <fills count="8">
    <fill>
      <patternFill patternType="none"/>
    </fill>
    <fill>
      <patternFill patternType="gray125"/>
    </fill>
    <fill>
      <patternFill patternType="solid">
        <fgColor rgb="FF141B3D"/>
        <bgColor rgb="FF17243B"/>
      </patternFill>
    </fill>
    <fill>
      <patternFill patternType="solid">
        <fgColor rgb="FF17243B"/>
        <bgColor rgb="FF141B3D"/>
      </patternFill>
    </fill>
    <fill>
      <patternFill patternType="solid">
        <fgColor rgb="FFF1F5F9"/>
        <bgColor rgb="FFEDF2F7"/>
      </patternFill>
    </fill>
    <fill>
      <patternFill patternType="solid">
        <fgColor rgb="FFFFF4CD"/>
        <bgColor rgb="FFFDE3E5"/>
      </patternFill>
    </fill>
    <fill>
      <patternFill patternType="solid">
        <fgColor rgb="FFEDF2F7"/>
        <bgColor rgb="FFEDF1F6"/>
      </patternFill>
    </fill>
    <fill>
      <patternFill patternType="solid">
        <fgColor rgb="FFEDF1F6"/>
        <bgColor rgb="FFEDF2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double">
        <color rgb="FF17243B"/>
      </bottom>
      <diagonal/>
    </border>
    <border diagonalUp="false" diagonalDown="false">
      <left/>
      <right/>
      <top/>
      <bottom style="double">
        <color rgb="FF17243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991B1B"/>
        <sz val="10"/>
      </font>
      <fill>
        <patternFill>
          <bgColor rgb="FFFECACA"/>
        </patternFill>
      </fill>
    </dxf>
    <dxf>
      <font>
        <name val="Arial"/>
        <charset val="1"/>
        <family val="0"/>
        <b val="1"/>
        <color rgb="FF065F46"/>
        <sz val="10"/>
      </font>
      <fill>
        <patternFill>
          <bgColor rgb="FFD1FAE5"/>
        </patternFill>
      </fill>
    </dxf>
    <dxf>
      <font>
        <b val="1"/>
        <color rgb="FFB91C36"/>
      </font>
      <fill>
        <patternFill>
          <bgColor rgb="FFFDE3E5"/>
        </patternFill>
      </fill>
    </dxf>
    <dxf>
      <font>
        <b val="1"/>
        <color rgb="FF9A6700"/>
      </font>
      <fill>
        <patternFill>
          <bgColor rgb="FFFFF4CD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700"/>
      <rgbColor rgb="FF800080"/>
      <rgbColor rgb="FF065F46"/>
      <rgbColor rgb="FFF1F5F9"/>
      <rgbColor rgb="FF808080"/>
      <rgbColor rgb="FF9999FF"/>
      <rgbColor rgb="FFB91C36"/>
      <rgbColor rgb="FFFFF4CD"/>
      <rgbColor rgb="FFEDF2F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1F6"/>
      <rgbColor rgb="FFD1FAE5"/>
      <rgbColor rgb="FFFDE3E5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41B3D"/>
      <rgbColor rgb="FF339966"/>
      <rgbColor rgb="FF003300"/>
      <rgbColor rgb="FF333300"/>
      <rgbColor rgb="FF991B1B"/>
      <rgbColor rgb="FF993366"/>
      <rgbColor rgb="FF475569"/>
      <rgbColor rgb="FF1724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243B"/>
    <pageSetUpPr fitToPage="false"/>
  </sheetPr>
  <dimension ref="B1:K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7" min="5" style="0" width="18"/>
    <col collapsed="false" customWidth="true" hidden="false" outlineLevel="0" max="10" min="8" style="0" width="8.71"/>
    <col collapsed="false" customWidth="true" hidden="false" outlineLevel="0" max="26" min="12" style="0" width="8.71"/>
  </cols>
  <sheetData>
    <row r="1" customFormat="false" ht="21.75" hidden="false" customHeight="true" outlineLevel="0" collapsed="false">
      <c r="B1" s="1" t="s">
        <v>0</v>
      </c>
      <c r="C1" s="1"/>
      <c r="D1" s="1"/>
      <c r="E1" s="1"/>
      <c r="F1" s="1"/>
      <c r="G1" s="1"/>
      <c r="H1" s="2"/>
      <c r="I1" s="2"/>
      <c r="J1" s="2"/>
      <c r="K1" s="2"/>
    </row>
    <row r="2" customFormat="false" ht="17.15" hidden="false" customHeight="false" outlineLevel="0" collapsed="false">
      <c r="B2" s="3" t="s">
        <v>1</v>
      </c>
      <c r="C2" s="3"/>
      <c r="D2" s="3"/>
      <c r="E2" s="3"/>
      <c r="F2" s="3"/>
      <c r="G2" s="3"/>
      <c r="H2" s="2"/>
      <c r="I2" s="2"/>
      <c r="J2" s="2"/>
      <c r="K2" s="2"/>
    </row>
    <row r="3" customFormat="false" ht="15" hidden="false" customHeight="fals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7.15" hidden="false" customHeight="false" outlineLevel="0" collapsed="false">
      <c r="B4" s="4" t="s">
        <v>2</v>
      </c>
      <c r="C4" s="2"/>
      <c r="D4" s="2"/>
      <c r="E4" s="2"/>
      <c r="F4" s="2"/>
      <c r="G4" s="2"/>
      <c r="H4" s="2"/>
      <c r="I4" s="2"/>
      <c r="J4" s="2"/>
      <c r="K4" s="2"/>
    </row>
    <row r="5" customFormat="false" ht="31.5" hidden="false" customHeight="true" outlineLevel="0" collapsed="false">
      <c r="B5" s="5" t="s">
        <v>3</v>
      </c>
      <c r="C5" s="5"/>
      <c r="D5" s="5"/>
      <c r="E5" s="5"/>
      <c r="F5" s="6"/>
      <c r="G5" s="6"/>
      <c r="H5" s="2"/>
      <c r="I5" s="2"/>
      <c r="J5" s="2"/>
      <c r="K5" s="2"/>
    </row>
    <row r="6" customFormat="false" ht="31.5" hidden="false" customHeight="true" outlineLevel="0" collapsed="false">
      <c r="B6" s="5" t="s">
        <v>4</v>
      </c>
      <c r="C6" s="5"/>
      <c r="D6" s="5"/>
      <c r="E6" s="5"/>
      <c r="F6" s="6"/>
      <c r="G6" s="6"/>
      <c r="H6" s="2"/>
      <c r="I6" s="2"/>
      <c r="J6" s="2"/>
      <c r="K6" s="2"/>
    </row>
    <row r="7" customFormat="false" ht="31.5" hidden="false" customHeight="true" outlineLevel="0" collapsed="false">
      <c r="B7" s="5" t="s">
        <v>5</v>
      </c>
      <c r="C7" s="5"/>
      <c r="D7" s="5"/>
      <c r="E7" s="5"/>
      <c r="F7" s="6"/>
      <c r="G7" s="6"/>
      <c r="H7" s="2"/>
      <c r="I7" s="2"/>
      <c r="J7" s="2"/>
      <c r="K7" s="2"/>
    </row>
    <row r="8" customFormat="false" ht="31.5" hidden="false" customHeight="true" outlineLevel="0" collapsed="false">
      <c r="B8" s="5" t="s">
        <v>6</v>
      </c>
      <c r="C8" s="5"/>
      <c r="D8" s="5"/>
      <c r="E8" s="5"/>
      <c r="F8" s="6"/>
      <c r="G8" s="6"/>
      <c r="H8" s="2"/>
      <c r="I8" s="2"/>
      <c r="J8" s="2"/>
      <c r="K8" s="2"/>
    </row>
    <row r="9" customFormat="false" ht="31.5" hidden="false" customHeight="true" outlineLevel="0" collapsed="false">
      <c r="B9" s="5" t="s">
        <v>7</v>
      </c>
      <c r="C9" s="5"/>
      <c r="D9" s="5"/>
      <c r="E9" s="5"/>
      <c r="F9" s="6"/>
      <c r="G9" s="6"/>
      <c r="H9" s="2"/>
      <c r="I9" s="2"/>
      <c r="J9" s="2"/>
      <c r="K9" s="2"/>
    </row>
    <row r="10" customFormat="false" ht="15" hidden="false" customHeight="true" outlineLevel="0" collapsed="false">
      <c r="B10" s="7"/>
      <c r="C10" s="7"/>
      <c r="D10" s="7"/>
      <c r="E10" s="7"/>
      <c r="F10" s="2"/>
      <c r="G10" s="2"/>
      <c r="H10" s="2"/>
      <c r="I10" s="2"/>
      <c r="J10" s="2"/>
      <c r="K10" s="2"/>
    </row>
    <row r="11" customFormat="false" ht="15" hidden="false" customHeight="false" outlineLevel="0" collapsed="false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customFormat="false" ht="17.15" hidden="false" customHeight="false" outlineLevel="0" collapsed="false">
      <c r="B12" s="1" t="s">
        <v>8</v>
      </c>
      <c r="C12" s="1"/>
      <c r="D12" s="1"/>
      <c r="E12" s="1"/>
      <c r="F12" s="2"/>
      <c r="G12" s="2"/>
      <c r="H12" s="2"/>
      <c r="I12" s="2"/>
      <c r="J12" s="2"/>
      <c r="K12" s="2"/>
    </row>
    <row r="13" customFormat="false" ht="15" hidden="false" customHeight="false" outlineLevel="0" collapsed="false">
      <c r="B13" s="8" t="s">
        <v>9</v>
      </c>
      <c r="C13" s="8" t="s">
        <v>10</v>
      </c>
      <c r="D13" s="8" t="s">
        <v>11</v>
      </c>
      <c r="E13" s="2"/>
      <c r="F13" s="9" t="s">
        <v>12</v>
      </c>
      <c r="G13" s="2"/>
      <c r="H13" s="2"/>
      <c r="I13" s="2"/>
      <c r="J13" s="2"/>
      <c r="K13" s="2"/>
    </row>
    <row r="14" customFormat="false" ht="15" hidden="false" customHeight="true" outlineLevel="0" collapsed="false">
      <c r="B14" s="10" t="s">
        <v>13</v>
      </c>
      <c r="C14" s="11" t="s">
        <v>14</v>
      </c>
      <c r="D14" s="12" t="s">
        <v>15</v>
      </c>
      <c r="E14" s="2"/>
      <c r="F14" s="13" t="s">
        <v>16</v>
      </c>
      <c r="G14" s="13"/>
      <c r="H14" s="2"/>
      <c r="I14" s="2"/>
      <c r="J14" s="2"/>
      <c r="K14" s="2"/>
    </row>
    <row r="15" customFormat="false" ht="15" hidden="false" customHeight="true" outlineLevel="0" collapsed="false">
      <c r="B15" s="14" t="s">
        <v>17</v>
      </c>
      <c r="C15" s="11" t="s">
        <v>18</v>
      </c>
      <c r="D15" s="12" t="s">
        <v>15</v>
      </c>
      <c r="E15" s="2"/>
      <c r="F15" s="15" t="s">
        <v>19</v>
      </c>
      <c r="G15" s="15"/>
      <c r="H15" s="2"/>
      <c r="I15" s="2"/>
      <c r="J15" s="2"/>
      <c r="K15" s="2"/>
    </row>
    <row r="16" customFormat="false" ht="15" hidden="false" customHeight="true" outlineLevel="0" collapsed="false">
      <c r="B16" s="14" t="s">
        <v>20</v>
      </c>
      <c r="C16" s="11" t="s">
        <v>21</v>
      </c>
      <c r="D16" s="12" t="s">
        <v>15</v>
      </c>
      <c r="E16" s="2"/>
      <c r="F16" s="13" t="s">
        <v>22</v>
      </c>
      <c r="G16" s="13"/>
      <c r="H16" s="2"/>
      <c r="I16" s="2"/>
      <c r="J16" s="2"/>
      <c r="K16" s="2"/>
    </row>
    <row r="17" customFormat="false" ht="15" hidden="false" customHeight="true" outlineLevel="0" collapsed="false">
      <c r="B17" s="10" t="s">
        <v>23</v>
      </c>
      <c r="C17" s="16" t="s">
        <v>23</v>
      </c>
      <c r="D17" s="12" t="s">
        <v>15</v>
      </c>
      <c r="E17" s="2"/>
      <c r="F17" s="13" t="s">
        <v>24</v>
      </c>
      <c r="G17" s="13"/>
      <c r="H17" s="2"/>
      <c r="I17" s="2"/>
      <c r="J17" s="2"/>
      <c r="K17" s="2"/>
    </row>
    <row r="18" customFormat="false" ht="15" hidden="false" customHeight="true" outlineLevel="0" collapsed="false">
      <c r="B18" s="10" t="s">
        <v>25</v>
      </c>
      <c r="C18" s="16" t="s">
        <v>26</v>
      </c>
      <c r="D18" s="12" t="s">
        <v>15</v>
      </c>
      <c r="E18" s="2"/>
      <c r="F18" s="13" t="s">
        <v>27</v>
      </c>
      <c r="G18" s="13"/>
      <c r="H18" s="2"/>
      <c r="I18" s="2"/>
      <c r="J18" s="2"/>
      <c r="K18" s="2"/>
    </row>
    <row r="19" customFormat="false" ht="15" hidden="false" customHeight="true" outlineLevel="0" collapsed="false">
      <c r="B19" s="10" t="s">
        <v>28</v>
      </c>
      <c r="C19" s="16" t="s">
        <v>29</v>
      </c>
      <c r="D19" s="12" t="s">
        <v>15</v>
      </c>
      <c r="E19" s="2"/>
      <c r="F19" s="13" t="s">
        <v>30</v>
      </c>
      <c r="G19" s="13"/>
      <c r="H19" s="2"/>
      <c r="I19" s="2"/>
      <c r="J19" s="2"/>
      <c r="K19" s="2"/>
    </row>
    <row r="20" customFormat="false" ht="15" hidden="false" customHeight="true" outlineLevel="0" collapsed="false">
      <c r="B20" s="10" t="s">
        <v>31</v>
      </c>
      <c r="C20" s="16" t="s">
        <v>32</v>
      </c>
      <c r="D20" s="12" t="s">
        <v>15</v>
      </c>
      <c r="E20" s="2"/>
      <c r="F20" s="13" t="s">
        <v>33</v>
      </c>
      <c r="G20" s="13"/>
      <c r="H20" s="2"/>
      <c r="I20" s="2"/>
      <c r="J20" s="2"/>
      <c r="K20" s="2"/>
    </row>
    <row r="21" customFormat="false" ht="15" hidden="false" customHeight="true" outlineLevel="0" collapsed="false">
      <c r="B21" s="10" t="s">
        <v>34</v>
      </c>
      <c r="C21" s="16" t="s">
        <v>35</v>
      </c>
      <c r="D21" s="12" t="s">
        <v>15</v>
      </c>
      <c r="E21" s="2"/>
      <c r="F21" s="13" t="s">
        <v>36</v>
      </c>
      <c r="G21" s="13"/>
      <c r="H21" s="2"/>
      <c r="I21" s="2"/>
      <c r="J21" s="2"/>
      <c r="K21" s="2"/>
    </row>
    <row r="22" customFormat="false" ht="15.75" hidden="false" customHeight="true" outlineLevel="0" collapsed="false">
      <c r="B22" s="10" t="s">
        <v>37</v>
      </c>
      <c r="C22" s="16" t="s">
        <v>38</v>
      </c>
      <c r="D22" s="12" t="s">
        <v>15</v>
      </c>
      <c r="E22" s="2"/>
      <c r="F22" s="2"/>
      <c r="G22" s="2"/>
      <c r="H22" s="2"/>
      <c r="I22" s="2"/>
      <c r="J22" s="2"/>
      <c r="K22" s="2"/>
    </row>
    <row r="23" customFormat="false" ht="15.75" hidden="false" customHeight="true" outlineLevel="0" collapsed="false">
      <c r="B23" s="10" t="s">
        <v>39</v>
      </c>
      <c r="C23" s="16" t="s">
        <v>40</v>
      </c>
      <c r="D23" s="12" t="s">
        <v>15</v>
      </c>
      <c r="E23" s="2"/>
      <c r="F23" s="2"/>
      <c r="G23" s="2"/>
      <c r="H23" s="2"/>
      <c r="I23" s="2"/>
      <c r="J23" s="2"/>
      <c r="K23" s="2"/>
    </row>
    <row r="24" customFormat="false" ht="15.75" hidden="false" customHeight="true" outlineLevel="0" collapsed="false">
      <c r="B24" s="10" t="s">
        <v>41</v>
      </c>
      <c r="C24" s="16" t="s">
        <v>42</v>
      </c>
      <c r="D24" s="12" t="s">
        <v>15</v>
      </c>
      <c r="E24" s="2"/>
      <c r="F24" s="2"/>
      <c r="G24" s="2"/>
      <c r="H24" s="2"/>
      <c r="I24" s="2"/>
      <c r="J24" s="2"/>
      <c r="K24" s="2"/>
    </row>
    <row r="25" customFormat="false" ht="15.75" hidden="false" customHeight="true" outlineLevel="0" collapsed="false">
      <c r="B25" s="10" t="s">
        <v>43</v>
      </c>
      <c r="C25" s="16" t="s">
        <v>44</v>
      </c>
      <c r="D25" s="12" t="s">
        <v>15</v>
      </c>
      <c r="E25" s="2"/>
      <c r="F25" s="2"/>
      <c r="G25" s="2"/>
      <c r="H25" s="2"/>
      <c r="I25" s="2"/>
      <c r="J25" s="2"/>
      <c r="K25" s="2"/>
    </row>
    <row r="26" customFormat="false" ht="15.75" hidden="false" customHeight="true" outlineLevel="0" collapsed="false">
      <c r="B26" s="10" t="s">
        <v>45</v>
      </c>
      <c r="C26" s="16" t="s">
        <v>45</v>
      </c>
      <c r="D26" s="12" t="s">
        <v>46</v>
      </c>
      <c r="E26" s="2"/>
      <c r="F26" s="2"/>
      <c r="G26" s="2"/>
      <c r="H26" s="2"/>
      <c r="I26" s="2"/>
      <c r="J26" s="2"/>
      <c r="K26" s="2"/>
    </row>
    <row r="27" customFormat="false" ht="15.75" hidden="false" customHeight="true" outlineLevel="0" collapsed="false">
      <c r="B27" s="10" t="s">
        <v>47</v>
      </c>
      <c r="C27" s="16" t="s">
        <v>48</v>
      </c>
      <c r="D27" s="12" t="s">
        <v>46</v>
      </c>
      <c r="E27" s="2"/>
      <c r="F27" s="2"/>
      <c r="G27" s="2"/>
      <c r="H27" s="2"/>
      <c r="I27" s="2"/>
      <c r="J27" s="2"/>
      <c r="K27" s="2"/>
    </row>
    <row r="28" customFormat="false" ht="15.75" hidden="false" customHeight="true" outlineLevel="0" collapsed="false">
      <c r="B28" s="10" t="s">
        <v>49</v>
      </c>
      <c r="C28" s="16" t="s">
        <v>49</v>
      </c>
      <c r="D28" s="12" t="s">
        <v>46</v>
      </c>
      <c r="E28" s="2"/>
      <c r="F28" s="2"/>
      <c r="G28" s="2"/>
      <c r="H28" s="2"/>
      <c r="I28" s="2"/>
      <c r="J28" s="2"/>
      <c r="K28" s="2"/>
    </row>
    <row r="29" customFormat="false" ht="15.75" hidden="false" customHeight="true" outlineLevel="0" collapsed="false">
      <c r="B29" s="10" t="s">
        <v>50</v>
      </c>
      <c r="C29" s="16" t="s">
        <v>50</v>
      </c>
      <c r="D29" s="12" t="s">
        <v>46</v>
      </c>
      <c r="E29" s="2"/>
      <c r="F29" s="2"/>
      <c r="G29" s="2"/>
      <c r="H29" s="2"/>
      <c r="I29" s="2"/>
      <c r="J29" s="2"/>
      <c r="K29" s="2"/>
    </row>
    <row r="30" customFormat="false" ht="15.75" hidden="false" customHeight="true" outlineLevel="0" collapsed="false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customFormat="false" ht="15.75" hidden="false" customHeight="true" outlineLevel="0" collapsed="false">
      <c r="B31" s="1" t="s">
        <v>51</v>
      </c>
      <c r="C31" s="1"/>
      <c r="D31" s="1"/>
      <c r="E31" s="1"/>
      <c r="F31" s="1"/>
      <c r="G31" s="2"/>
      <c r="H31" s="2"/>
      <c r="I31" s="2"/>
      <c r="J31" s="2"/>
      <c r="K31" s="2"/>
    </row>
    <row r="32" customFormat="false" ht="15.75" hidden="false" customHeight="true" outlineLevel="0" collapsed="false">
      <c r="B32" s="8" t="s">
        <v>52</v>
      </c>
      <c r="C32" s="8" t="s">
        <v>53</v>
      </c>
      <c r="D32" s="8" t="s">
        <v>54</v>
      </c>
      <c r="E32" s="17" t="s">
        <v>55</v>
      </c>
      <c r="F32" s="17" t="s">
        <v>56</v>
      </c>
      <c r="G32" s="17" t="s">
        <v>57</v>
      </c>
      <c r="H32" s="17" t="s">
        <v>58</v>
      </c>
      <c r="I32" s="8" t="s">
        <v>59</v>
      </c>
      <c r="J32" s="8" t="s">
        <v>60</v>
      </c>
      <c r="K32" s="8" t="s">
        <v>61</v>
      </c>
    </row>
    <row r="33" customFormat="false" ht="64.5" hidden="false" customHeight="true" outlineLevel="0" collapsed="false">
      <c r="B33" s="12" t="n">
        <v>3</v>
      </c>
      <c r="C33" s="12" t="s">
        <v>62</v>
      </c>
      <c r="D33" s="18" t="s">
        <v>63</v>
      </c>
      <c r="E33" s="18" t="s">
        <v>18</v>
      </c>
      <c r="F33" s="12" t="s">
        <v>45</v>
      </c>
      <c r="G33" s="12" t="s">
        <v>25</v>
      </c>
      <c r="H33" s="12" t="s">
        <v>13</v>
      </c>
      <c r="I33" s="18" t="n">
        <v>2</v>
      </c>
      <c r="J33" s="18" t="n">
        <v>1</v>
      </c>
      <c r="K33" s="19" t="s">
        <v>64</v>
      </c>
    </row>
    <row r="34" customFormat="false" ht="15.75" hidden="false" customHeight="true" outlineLevel="0" collapsed="false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customFormat="false" ht="15.75" hidden="false" customHeight="true" outlineLevel="0" collapsed="false">
      <c r="B35" s="4" t="s">
        <v>65</v>
      </c>
      <c r="C35" s="2"/>
      <c r="D35" s="2"/>
      <c r="E35" s="2"/>
      <c r="F35" s="2"/>
      <c r="G35" s="2"/>
      <c r="H35" s="2"/>
      <c r="I35" s="2"/>
      <c r="J35" s="2"/>
      <c r="K35" s="2"/>
    </row>
    <row r="36" customFormat="false" ht="31.5" hidden="false" customHeight="true" outlineLevel="0" collapsed="false">
      <c r="B36" s="20" t="s">
        <v>66</v>
      </c>
      <c r="C36" s="20"/>
      <c r="D36" s="20"/>
      <c r="E36" s="20"/>
      <c r="F36" s="20"/>
      <c r="G36" s="20"/>
      <c r="H36" s="2"/>
      <c r="I36" s="2"/>
      <c r="J36" s="2"/>
      <c r="K36" s="2"/>
    </row>
    <row r="37" customFormat="false" ht="31.5" hidden="false" customHeight="true" outlineLevel="0" collapsed="false">
      <c r="B37" s="15" t="s">
        <v>67</v>
      </c>
      <c r="C37" s="15"/>
      <c r="D37" s="15"/>
      <c r="E37" s="15"/>
      <c r="F37" s="15"/>
      <c r="G37" s="15"/>
      <c r="H37" s="2"/>
      <c r="I37" s="2"/>
      <c r="J37" s="2"/>
      <c r="K37" s="2"/>
    </row>
    <row r="38" customFormat="false" ht="15.75" hidden="false" customHeight="true" outlineLevel="0" collapsed="false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customFormat="false" ht="15.75" hidden="false" customHeight="true" outlineLevel="0" collapsed="false">
      <c r="B39" s="1" t="s">
        <v>68</v>
      </c>
      <c r="C39" s="1"/>
      <c r="D39" s="1"/>
      <c r="E39" s="1"/>
      <c r="F39" s="1"/>
      <c r="G39" s="1"/>
      <c r="H39" s="2"/>
      <c r="I39" s="2"/>
      <c r="J39" s="2"/>
      <c r="K39" s="2"/>
    </row>
    <row r="40" customFormat="false" ht="31.5" hidden="false" customHeight="true" outlineLevel="0" collapsed="false">
      <c r="B40" s="20" t="s">
        <v>69</v>
      </c>
      <c r="C40" s="20"/>
      <c r="D40" s="20"/>
      <c r="E40" s="20"/>
      <c r="F40" s="20"/>
      <c r="G40" s="20"/>
      <c r="H40" s="2"/>
      <c r="I40" s="2"/>
      <c r="J40" s="2"/>
      <c r="K40" s="2"/>
    </row>
    <row r="41" customFormat="false" ht="31.5" hidden="false" customHeight="true" outlineLevel="0" collapsed="false">
      <c r="B41" s="20" t="s">
        <v>70</v>
      </c>
      <c r="C41" s="20"/>
      <c r="D41" s="20"/>
      <c r="E41" s="20"/>
      <c r="F41" s="20"/>
      <c r="G41" s="20"/>
      <c r="H41" s="2"/>
      <c r="I41" s="2"/>
      <c r="J41" s="2"/>
      <c r="K41" s="2"/>
    </row>
    <row r="42" customFormat="false" ht="31.5" hidden="false" customHeight="true" outlineLevel="0" collapsed="false">
      <c r="B42" s="20" t="s">
        <v>71</v>
      </c>
      <c r="C42" s="20"/>
      <c r="D42" s="20"/>
      <c r="E42" s="20"/>
      <c r="F42" s="20"/>
      <c r="G42" s="20"/>
      <c r="H42" s="2"/>
      <c r="I42" s="2"/>
      <c r="J42" s="2"/>
      <c r="K42" s="2"/>
    </row>
    <row r="43" customFormat="false" ht="31.5" hidden="false" customHeight="true" outlineLevel="0" collapsed="false">
      <c r="B43" s="20" t="s">
        <v>72</v>
      </c>
      <c r="C43" s="20"/>
      <c r="D43" s="20"/>
      <c r="E43" s="20"/>
      <c r="F43" s="20"/>
      <c r="G43" s="20"/>
      <c r="H43" s="2"/>
      <c r="I43" s="2"/>
      <c r="J43" s="2"/>
      <c r="K43" s="2"/>
    </row>
    <row r="44" customFormat="false" ht="31.5" hidden="false" customHeight="true" outlineLevel="0" collapsed="false">
      <c r="B44" s="20" t="s">
        <v>73</v>
      </c>
      <c r="C44" s="20"/>
      <c r="D44" s="20"/>
      <c r="E44" s="20"/>
      <c r="F44" s="20"/>
      <c r="G44" s="20"/>
      <c r="H44" s="2"/>
      <c r="I44" s="2"/>
      <c r="J44" s="2"/>
      <c r="K44" s="2"/>
    </row>
    <row r="45" customFormat="false" ht="15.75" hidden="false" customHeight="true" outlineLevel="0" collapsed="false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customFormat="false" ht="36" hidden="false" customHeight="true" outlineLevel="0" collapsed="false">
      <c r="B46" s="13" t="s">
        <v>74</v>
      </c>
      <c r="C46" s="13"/>
      <c r="D46" s="13"/>
      <c r="E46" s="13"/>
      <c r="F46" s="13"/>
      <c r="G46" s="13"/>
      <c r="H46" s="2"/>
      <c r="I46" s="2"/>
      <c r="J46" s="2"/>
      <c r="K46" s="2"/>
    </row>
    <row r="47" customFormat="false" ht="15.75" hidden="false" customHeight="true" outlineLevel="0" collapsed="false"/>
    <row r="48" customFormat="false" ht="30" hidden="false" customHeight="true" outlineLevel="0" collapsed="false">
      <c r="B48" s="21" t="s">
        <v>75</v>
      </c>
      <c r="C48" s="21"/>
      <c r="D48" s="21"/>
      <c r="E48" s="21"/>
      <c r="F48" s="21"/>
      <c r="G48" s="21"/>
    </row>
    <row r="49" customFormat="false" ht="30" hidden="false" customHeight="true" outlineLevel="0" collapsed="false">
      <c r="B49" s="22" t="s">
        <v>76</v>
      </c>
      <c r="C49" s="22"/>
      <c r="D49" s="22"/>
      <c r="E49" s="22"/>
      <c r="F49" s="22"/>
      <c r="G49" s="22"/>
    </row>
    <row r="50" customFormat="false" ht="15.75" hidden="false" customHeight="true" outlineLevel="0" collapsed="false"/>
    <row r="51" customFormat="false" ht="30" hidden="false" customHeight="true" outlineLevel="0" collapsed="false">
      <c r="B51" s="23" t="s">
        <v>77</v>
      </c>
      <c r="C51" s="23" t="s">
        <v>10</v>
      </c>
      <c r="D51" s="23" t="s">
        <v>11</v>
      </c>
    </row>
    <row r="52" customFormat="false" ht="30" hidden="false" customHeight="true" outlineLevel="0" collapsed="false">
      <c r="B52" s="24" t="s">
        <v>78</v>
      </c>
      <c r="C52" s="24" t="s">
        <v>79</v>
      </c>
      <c r="D52" s="24" t="s">
        <v>15</v>
      </c>
    </row>
    <row r="53" customFormat="false" ht="30" hidden="false" customHeight="true" outlineLevel="0" collapsed="false">
      <c r="B53" s="24" t="s">
        <v>80</v>
      </c>
      <c r="C53" s="24" t="s">
        <v>81</v>
      </c>
      <c r="D53" s="24" t="s">
        <v>46</v>
      </c>
    </row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9">
    <mergeCell ref="B1:G1"/>
    <mergeCell ref="B2:G2"/>
    <mergeCell ref="B5:E5"/>
    <mergeCell ref="B6:E6"/>
    <mergeCell ref="B7:E7"/>
    <mergeCell ref="B8:E8"/>
    <mergeCell ref="B9:E9"/>
    <mergeCell ref="B10:E10"/>
    <mergeCell ref="B12:E12"/>
    <mergeCell ref="F14:G14"/>
    <mergeCell ref="F15:G15"/>
    <mergeCell ref="F16:G16"/>
    <mergeCell ref="F17:G17"/>
    <mergeCell ref="F18:G18"/>
    <mergeCell ref="F19:G19"/>
    <mergeCell ref="F20:G20"/>
    <mergeCell ref="F21:G21"/>
    <mergeCell ref="B31:F31"/>
    <mergeCell ref="B36:G36"/>
    <mergeCell ref="B37:G37"/>
    <mergeCell ref="B39:G39"/>
    <mergeCell ref="B40:G40"/>
    <mergeCell ref="B41:G41"/>
    <mergeCell ref="B42:G42"/>
    <mergeCell ref="B43:G43"/>
    <mergeCell ref="B44:G44"/>
    <mergeCell ref="B46:G46"/>
    <mergeCell ref="B48:G48"/>
    <mergeCell ref="B49:G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243B"/>
    <pageSetUpPr fitToPage="false"/>
  </sheetPr>
  <dimension ref="B1: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5"/>
    <col collapsed="false" customWidth="true" hidden="false" outlineLevel="0" max="3" min="3" style="0" width="30"/>
    <col collapsed="false" customWidth="true" hidden="false" outlineLevel="0" max="4" min="4" style="0" width="65"/>
    <col collapsed="false" customWidth="true" hidden="false" outlineLevel="0" max="26" min="5" style="0" width="8.71"/>
  </cols>
  <sheetData>
    <row r="1" customFormat="false" ht="15" hidden="false" customHeight="false" outlineLevel="0" collapsed="false">
      <c r="B1" s="25" t="s">
        <v>82</v>
      </c>
      <c r="C1" s="25"/>
      <c r="D1" s="25"/>
    </row>
    <row r="2" customFormat="false" ht="17.15" hidden="false" customHeight="false" outlineLevel="0" collapsed="false">
      <c r="B2" s="3" t="s">
        <v>83</v>
      </c>
      <c r="C2" s="3"/>
      <c r="D2" s="3"/>
    </row>
    <row r="3" customFormat="false" ht="15" hidden="false" customHeight="false" outlineLevel="0" collapsed="false">
      <c r="B3" s="2"/>
      <c r="C3" s="2"/>
      <c r="D3" s="2"/>
    </row>
    <row r="4" customFormat="false" ht="25.5" hidden="false" customHeight="true" outlineLevel="0" collapsed="false">
      <c r="B4" s="26" t="s">
        <v>84</v>
      </c>
      <c r="C4" s="27" t="n">
        <f aca="true">TODAY()</f>
        <v>46318</v>
      </c>
      <c r="D4" s="28" t="s">
        <v>85</v>
      </c>
    </row>
    <row r="5" customFormat="false" ht="25.5" hidden="false" customHeight="true" outlineLevel="0" collapsed="false">
      <c r="B5" s="26" t="s">
        <v>86</v>
      </c>
      <c r="C5" s="29" t="s">
        <v>87</v>
      </c>
      <c r="D5" s="28" t="s">
        <v>88</v>
      </c>
    </row>
    <row r="6" customFormat="false" ht="25.5" hidden="false" customHeight="true" outlineLevel="0" collapsed="false">
      <c r="B6" s="26" t="s">
        <v>89</v>
      </c>
      <c r="C6" s="29" t="s">
        <v>90</v>
      </c>
      <c r="D6" s="28" t="s">
        <v>91</v>
      </c>
    </row>
    <row r="7" customFormat="false" ht="25.5" hidden="false" customHeight="true" outlineLevel="0" collapsed="false">
      <c r="B7" s="26" t="s">
        <v>92</v>
      </c>
      <c r="C7" s="29" t="s">
        <v>93</v>
      </c>
      <c r="D7" s="28"/>
    </row>
    <row r="8" customFormat="false" ht="25.5" hidden="false" customHeight="true" outlineLevel="0" collapsed="false">
      <c r="B8" s="26" t="s">
        <v>94</v>
      </c>
      <c r="C8" s="30" t="n">
        <v>4</v>
      </c>
      <c r="D8" s="28" t="s">
        <v>95</v>
      </c>
    </row>
    <row r="9" customFormat="false" ht="25.5" hidden="false" customHeight="true" outlineLevel="0" collapsed="false">
      <c r="B9" s="26" t="s">
        <v>96</v>
      </c>
      <c r="C9" s="30" t="n">
        <v>2</v>
      </c>
      <c r="D9" s="28" t="s">
        <v>95</v>
      </c>
    </row>
    <row r="10" customFormat="false" ht="25.5" hidden="false" customHeight="true" outlineLevel="0" collapsed="false">
      <c r="B10" s="26" t="s">
        <v>97</v>
      </c>
      <c r="C10" s="29" t="n">
        <v>7</v>
      </c>
      <c r="D10" s="28" t="s">
        <v>98</v>
      </c>
    </row>
    <row r="11" customFormat="false" ht="25.5" hidden="false" customHeight="true" outlineLevel="0" collapsed="false">
      <c r="B11" s="2"/>
      <c r="C11" s="31"/>
      <c r="D11" s="6"/>
    </row>
    <row r="12" customFormat="false" ht="25.5" hidden="false" customHeight="true" outlineLevel="0" collapsed="false">
      <c r="B12" s="26" t="s">
        <v>99</v>
      </c>
      <c r="C12" s="29"/>
      <c r="D12" s="28"/>
    </row>
    <row r="13" customFormat="false" ht="25.5" hidden="false" customHeight="true" outlineLevel="0" collapsed="false">
      <c r="B13" s="26" t="s">
        <v>100</v>
      </c>
      <c r="C13" s="29"/>
      <c r="D13" s="28"/>
    </row>
    <row r="14" customFormat="false" ht="25.5" hidden="false" customHeight="true" outlineLevel="0" collapsed="false">
      <c r="B14" s="32" t="s">
        <v>101</v>
      </c>
      <c r="C14" s="29"/>
      <c r="D14" s="28"/>
    </row>
    <row r="15" customFormat="false" ht="25.5" hidden="false" customHeight="true" outlineLevel="0" collapsed="false">
      <c r="B15" s="32" t="s">
        <v>102</v>
      </c>
      <c r="C15" s="29"/>
      <c r="D15" s="28"/>
    </row>
    <row r="16" customFormat="false" ht="25.5" hidden="false" customHeight="true" outlineLevel="0" collapsed="false">
      <c r="B16" s="26" t="s">
        <v>103</v>
      </c>
      <c r="C16" s="27"/>
      <c r="D16" s="28"/>
    </row>
    <row r="17" customFormat="false" ht="25.5" hidden="false" customHeight="true" outlineLevel="0" collapsed="false">
      <c r="B17" s="2"/>
      <c r="C17" s="2"/>
      <c r="D17" s="6"/>
    </row>
    <row r="18" customFormat="false" ht="25.5" hidden="false" customHeight="true" outlineLevel="0" collapsed="false">
      <c r="B18" s="26" t="s">
        <v>104</v>
      </c>
      <c r="C18" s="33" t="str">
        <f aca="false">IFERROR(MONTH(C4)&amp;"_"&amp;DAY(C4)&amp;" VS "&amp;C5&amp;" 경기 기록","날짜와 상대팀을 먼저 입력하세요")</f>
        <v>10_23 VS 테스트팀 경기 기록</v>
      </c>
      <c r="D18" s="28" t="s">
        <v>105</v>
      </c>
    </row>
    <row r="19" customFormat="false" ht="25.5" hidden="false" customHeight="true" outlineLevel="0" collapsed="false">
      <c r="D19" s="34"/>
    </row>
    <row r="20" customFormat="false" ht="25.5" hidden="false" customHeight="true" outlineLevel="0" collapsed="false">
      <c r="B20" s="35" t="s">
        <v>106</v>
      </c>
      <c r="C20" s="36" t="n">
        <v>5</v>
      </c>
      <c r="D20" s="37" t="s">
        <v>107</v>
      </c>
    </row>
    <row r="21" customFormat="false" ht="25.5" hidden="false" customHeight="true" outlineLevel="0" collapsed="false">
      <c r="B21" s="24" t="s">
        <v>108</v>
      </c>
      <c r="C21" s="38" t="n">
        <f aca="false">IF(NOT(ISNUMBER(C10)),"",ROUND(INT(C10)*3+MOD(C10,1)*10,0))</f>
        <v>21</v>
      </c>
      <c r="D21" s="37" t="s">
        <v>109</v>
      </c>
    </row>
    <row r="22" customFormat="false" ht="25.5" hidden="false" customHeight="true" outlineLevel="0" collapsed="false">
      <c r="B22" s="24" t="s">
        <v>110</v>
      </c>
      <c r="C22" s="39"/>
      <c r="D22" s="34"/>
    </row>
    <row r="23" customFormat="false" ht="25.5" hidden="false" customHeight="true" outlineLevel="0" collapsed="false">
      <c r="B23" s="24" t="s">
        <v>111</v>
      </c>
      <c r="C23" s="40" t="n">
        <f aca="false">IF(NOT(ISNUMBER(C4)),"",C4+3)</f>
        <v>46321</v>
      </c>
      <c r="D23" s="34"/>
    </row>
    <row r="24" customFormat="false" ht="25.5" hidden="false" customHeight="true" outlineLevel="0" collapsed="false">
      <c r="B24" s="24" t="s">
        <v>112</v>
      </c>
      <c r="C24" s="38" t="str">
        <f aca="false">IF(OR(NOT(ISNUMBER(C16)),NOT(ISNUMBER(C22)),NOT(ISNUMBER(C4))),"완료일 입력 대기",IF(AND(C16&gt;=C4,C22&gt;=C4,MAX(C16,C22)&lt;=C23),"기한 내 완료","기한 초과 또는 날짜 확인"))</f>
        <v>완료일 입력 대기</v>
      </c>
      <c r="D24" s="34"/>
    </row>
    <row r="25" customFormat="false" ht="25.5" hidden="false" customHeight="true" outlineLevel="0" collapsed="false">
      <c r="B25" s="24" t="s">
        <v>113</v>
      </c>
      <c r="C25" s="36"/>
      <c r="D25" s="37" t="s">
        <v>114</v>
      </c>
    </row>
    <row r="26" customFormat="false" ht="25.5" hidden="false" customHeight="true" outlineLevel="0" collapsed="false">
      <c r="B26" s="24" t="s">
        <v>115</v>
      </c>
      <c r="C26" s="36"/>
      <c r="D26" s="34"/>
    </row>
    <row r="27" customFormat="false" ht="42" hidden="false" customHeight="true" outlineLevel="0" collapsed="false">
      <c r="B27" s="24" t="s">
        <v>116</v>
      </c>
      <c r="C27" s="35" t="s">
        <v>117</v>
      </c>
      <c r="D27" s="37" t="s">
        <v>118</v>
      </c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B1:D1"/>
    <mergeCell ref="B2:D2"/>
  </mergeCells>
  <dataValidations count="4">
    <dataValidation allowBlank="true" errorStyle="stop" operator="between" showDropDown="false" showErrorMessage="false" showInputMessage="false" sqref="C25" type="list">
      <formula1>"미확인,확인 완료"</formula1>
      <formula2>0</formula2>
    </dataValidation>
    <dataValidation allowBlank="true" errorStyle="stop" operator="between" showDropDown="false" showErrorMessage="false" showInputMessage="false" sqref="C26" type="list">
      <formula1>"미완료,대조 완료,1인 기록 재확인"</formula1>
      <formula2>0</formula2>
    </dataValidation>
    <dataValidation allowBlank="true" errorStyle="stop" operator="between" showDropDown="false" showErrorMessage="false" showInputMessage="false" sqref="C8:C9" type="decimal">
      <formula1>0</formula1>
      <formula2>999</formula2>
    </dataValidation>
    <dataValidation allowBlank="true" errorStyle="stop" operator="between" showDropDown="false" showErrorMessage="false" showInputMessage="false" sqref="C20" type="decimal">
      <formula1>1</formula1>
      <formula2>9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243B"/>
    <pageSetUpPr fitToPage="false"/>
  </sheetPr>
  <dimension ref="A1:AO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D2" activeCellId="0" sqref="D2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7"/>
    <col collapsed="false" customWidth="true" hidden="false" outlineLevel="0" max="27" min="3" style="0" width="12"/>
    <col collapsed="false" customWidth="true" hidden="false" outlineLevel="0" max="41" min="28" style="0" width="13"/>
  </cols>
  <sheetData>
    <row r="1" customFormat="false" ht="30" hidden="false" customHeight="true" outlineLevel="0" collapsed="false">
      <c r="A1" s="41" t="s">
        <v>52</v>
      </c>
      <c r="B1" s="41" t="s">
        <v>53</v>
      </c>
      <c r="C1" s="41" t="s">
        <v>54</v>
      </c>
      <c r="D1" s="42" t="s">
        <v>55</v>
      </c>
      <c r="E1" s="42" t="s">
        <v>56</v>
      </c>
      <c r="F1" s="42" t="s">
        <v>57</v>
      </c>
      <c r="G1" s="42" t="s">
        <v>58</v>
      </c>
      <c r="H1" s="42" t="s">
        <v>119</v>
      </c>
      <c r="I1" s="42" t="s">
        <v>120</v>
      </c>
      <c r="J1" s="41" t="s">
        <v>59</v>
      </c>
      <c r="K1" s="41" t="s">
        <v>60</v>
      </c>
      <c r="L1" s="41" t="s">
        <v>121</v>
      </c>
      <c r="M1" s="41" t="s">
        <v>122</v>
      </c>
      <c r="N1" s="41" t="s">
        <v>13</v>
      </c>
      <c r="O1" s="42" t="s">
        <v>123</v>
      </c>
      <c r="P1" s="42" t="s">
        <v>124</v>
      </c>
      <c r="Q1" s="41" t="s">
        <v>23</v>
      </c>
      <c r="R1" s="41" t="s">
        <v>45</v>
      </c>
      <c r="S1" s="41" t="s">
        <v>47</v>
      </c>
      <c r="T1" s="41" t="s">
        <v>25</v>
      </c>
      <c r="U1" s="41" t="s">
        <v>125</v>
      </c>
      <c r="V1" s="43" t="s">
        <v>126</v>
      </c>
      <c r="W1" s="43" t="s">
        <v>127</v>
      </c>
      <c r="X1" s="43" t="s">
        <v>128</v>
      </c>
      <c r="Y1" s="43" t="s">
        <v>129</v>
      </c>
      <c r="Z1" s="43" t="s">
        <v>130</v>
      </c>
      <c r="AA1" s="43" t="s">
        <v>131</v>
      </c>
      <c r="AB1" s="23" t="s">
        <v>132</v>
      </c>
      <c r="AC1" s="23" t="s">
        <v>49</v>
      </c>
      <c r="AD1" s="23" t="s">
        <v>50</v>
      </c>
      <c r="AE1" s="23" t="s">
        <v>133</v>
      </c>
      <c r="AF1" s="23" t="s">
        <v>134</v>
      </c>
      <c r="AG1" s="23" t="s">
        <v>135</v>
      </c>
      <c r="AH1" s="43" t="s">
        <v>136</v>
      </c>
      <c r="AI1" s="23" t="s">
        <v>80</v>
      </c>
      <c r="AJ1" s="23" t="s">
        <v>40</v>
      </c>
      <c r="AK1" s="23" t="s">
        <v>41</v>
      </c>
      <c r="AL1" s="23" t="s">
        <v>43</v>
      </c>
      <c r="AM1" s="23" t="s">
        <v>137</v>
      </c>
      <c r="AN1" s="43" t="s">
        <v>138</v>
      </c>
      <c r="AO1" s="43" t="s">
        <v>139</v>
      </c>
    </row>
    <row r="2" customFormat="false" ht="24.75" hidden="false" customHeight="true" outlineLevel="0" collapsed="false">
      <c r="A2" s="29" t="n">
        <v>1</v>
      </c>
      <c r="B2" s="29" t="s">
        <v>140</v>
      </c>
      <c r="C2" s="30" t="s">
        <v>63</v>
      </c>
      <c r="D2" s="29" t="s">
        <v>13</v>
      </c>
      <c r="E2" s="29" t="s">
        <v>45</v>
      </c>
      <c r="F2" s="29" t="s">
        <v>49</v>
      </c>
      <c r="G2" s="30" t="s">
        <v>141</v>
      </c>
      <c r="H2" s="30"/>
      <c r="I2" s="30"/>
      <c r="J2" s="30" t="n">
        <v>1</v>
      </c>
      <c r="K2" s="30" t="n">
        <v>2</v>
      </c>
      <c r="L2" s="30" t="n">
        <v>1</v>
      </c>
      <c r="M2" s="44" t="n">
        <f aca="false">AB2-R2-S2-AC2-AD2-AI2</f>
        <v>3</v>
      </c>
      <c r="N2" s="44" t="n">
        <f aca="false">SUM(O2:Q2)+AM2</f>
        <v>3</v>
      </c>
      <c r="O2" s="44" t="n">
        <f aca="false">COUNTIF(D2:I2,"2루타")+COUNTIF(V2:AA2,"2루타")</f>
        <v>1</v>
      </c>
      <c r="P2" s="44" t="n">
        <f aca="false">COUNTIF(D2:I2,"3루타")+COUNTIF(V2:AA2,"3루타")</f>
        <v>0</v>
      </c>
      <c r="Q2" s="44" t="n">
        <f aca="false">COUNTIF(D2:I2,"홈런")+COUNTIF(V2:AA2,"홈런")</f>
        <v>0</v>
      </c>
      <c r="R2" s="44" t="n">
        <f aca="false">COUNTIF(D2:I2,"볼넷")+COUNTIF(V2:AA2,"볼넷")</f>
        <v>1</v>
      </c>
      <c r="S2" s="44" t="n">
        <f aca="false">COUNTIF(D2:I2,"사구")+COUNTIF(V2:AA2,"사구")</f>
        <v>0</v>
      </c>
      <c r="T2" s="44" t="n">
        <f aca="false">COUNTIF(D2:I2,"삼진")+COUNTIF(V2:AA2,"삼진")+COUNTIF(D2:I2,"루킹삼진")+COUNTIF(V2:AA2,"루킹삼진")+COUNTIF(D2:I2,"낫아웃출루")+COUNTIF(V2:AA2,"낫아웃출루")</f>
        <v>0</v>
      </c>
      <c r="U2" s="45" t="n">
        <f aca="false">IF(AB2=0,"",IF(M2=0,"n.a.",N2/M2))</f>
        <v>1</v>
      </c>
      <c r="V2" s="46" t="s">
        <v>13</v>
      </c>
      <c r="W2" s="46"/>
      <c r="X2" s="46"/>
      <c r="Y2" s="46"/>
      <c r="Z2" s="46"/>
      <c r="AA2" s="46"/>
      <c r="AB2" s="47" t="n">
        <f aca="false">COUNTA(D2:I2)+COUNTA(V2:AA2)</f>
        <v>5</v>
      </c>
      <c r="AC2" s="47" t="n">
        <f aca="false">COUNTIF(D2:I2,"희생플라이")+COUNTIF(V2:AA2,"희생플라이")</f>
        <v>1</v>
      </c>
      <c r="AD2" s="47" t="n">
        <f aca="false">COUNTIF(D2:I2,"희생번트")+COUNTIF(V2:AA2,"희생번트")</f>
        <v>0</v>
      </c>
      <c r="AE2" s="47" t="n">
        <f aca="false">AM2+2*O2+3*P2+4*Q2</f>
        <v>4</v>
      </c>
      <c r="AF2" s="48" t="n">
        <f aca="false">IF(AB2=0,"",IF(M2+R2+S2+AC2=0,"n.a.",(N2+R2+S2)/(M2+R2+S2+AC2)))</f>
        <v>0.8</v>
      </c>
      <c r="AG2" s="48" t="n">
        <f aca="false">IF(AB2=0,"",IF(M2=0,"n.a.",AE2/M2))</f>
        <v>1.33333333333333</v>
      </c>
      <c r="AH2" s="48" t="n">
        <f aca="false">IF(AB2=0,"",IF(AND(ISNUMBER(AF2),ISNUMBER(AG2)),AF2+AG2,"n.a."))</f>
        <v>2.13333333333333</v>
      </c>
      <c r="AI2" s="47" t="n">
        <f aca="false">COUNTIF(D2:I2,"포수방해")+COUNTIF(V2:AA2,"포수방해")</f>
        <v>0</v>
      </c>
      <c r="AJ2" s="47" t="n">
        <f aca="false">COUNTIF(D2:I2,"병살")+COUNTIF(V2:AA2,"병살")</f>
        <v>0</v>
      </c>
      <c r="AK2" s="47" t="n">
        <f aca="false">COUNTIF(D2:I2,"실책출루")+COUNTIF(V2:AA2,"실책출루")</f>
        <v>0</v>
      </c>
      <c r="AL2" s="47" t="n">
        <f aca="false">COUNTIF(D2:I2,"야수선택")+COUNTIF(V2:AA2,"야수선택")</f>
        <v>0</v>
      </c>
      <c r="AM2" s="47" t="n">
        <f aca="false">COUNTIF(D2:I2,"안타")+COUNTIF(V2:AA2,"안타")</f>
        <v>2</v>
      </c>
      <c r="AN2" s="49" t="n">
        <f aca="false">IF(AB2=0,"",R2/AB2)</f>
        <v>0.2</v>
      </c>
      <c r="AO2" s="49" t="n">
        <f aca="false">IF(AB2=0,"",T2/AB2)</f>
        <v>0</v>
      </c>
    </row>
    <row r="3" customFormat="false" ht="24.75" hidden="false" customHeight="true" outlineLevel="0" collapsed="false">
      <c r="A3" s="29" t="n">
        <v>2</v>
      </c>
      <c r="B3" s="29" t="s">
        <v>142</v>
      </c>
      <c r="C3" s="30" t="s">
        <v>143</v>
      </c>
      <c r="D3" s="29" t="s">
        <v>25</v>
      </c>
      <c r="E3" s="29" t="s">
        <v>28</v>
      </c>
      <c r="F3" s="29" t="s">
        <v>78</v>
      </c>
      <c r="G3" s="29" t="s">
        <v>31</v>
      </c>
      <c r="H3" s="30"/>
      <c r="I3" s="30"/>
      <c r="J3" s="30" t="n">
        <v>0</v>
      </c>
      <c r="K3" s="30" t="n">
        <v>0</v>
      </c>
      <c r="L3" s="30" t="n">
        <v>0</v>
      </c>
      <c r="M3" s="44" t="n">
        <f aca="false">AB3-R3-S3-AC3-AD3-AI3</f>
        <v>4</v>
      </c>
      <c r="N3" s="44" t="n">
        <f aca="false">SUM(O3:Q3)+AM3</f>
        <v>0</v>
      </c>
      <c r="O3" s="44" t="n">
        <f aca="false">COUNTIF(D3:I3,"2루타")+COUNTIF(V3:AA3,"2루타")</f>
        <v>0</v>
      </c>
      <c r="P3" s="44" t="n">
        <f aca="false">COUNTIF(D3:I3,"3루타")+COUNTIF(V3:AA3,"3루타")</f>
        <v>0</v>
      </c>
      <c r="Q3" s="44" t="n">
        <f aca="false">COUNTIF(D3:I3,"홈런")+COUNTIF(V3:AA3,"홈런")</f>
        <v>0</v>
      </c>
      <c r="R3" s="44" t="n">
        <f aca="false">COUNTIF(D3:I3,"볼넷")+COUNTIF(V3:AA3,"볼넷")</f>
        <v>0</v>
      </c>
      <c r="S3" s="44" t="n">
        <f aca="false">COUNTIF(D3:I3,"사구")+COUNTIF(V3:AA3,"사구")</f>
        <v>0</v>
      </c>
      <c r="T3" s="44" t="n">
        <f aca="false">COUNTIF(D3:I3,"삼진")+COUNTIF(V3:AA3,"삼진")+COUNTIF(D3:I3,"루킹삼진")+COUNTIF(V3:AA3,"루킹삼진")+COUNTIF(D3:I3,"낫아웃출루")+COUNTIF(V3:AA3,"낫아웃출루")</f>
        <v>3</v>
      </c>
      <c r="U3" s="45" t="n">
        <f aca="false">IF(AB3=0,"",IF(M3=0,"n.a.",N3/M3))</f>
        <v>0</v>
      </c>
      <c r="V3" s="46"/>
      <c r="W3" s="46"/>
      <c r="X3" s="46"/>
      <c r="Y3" s="46"/>
      <c r="Z3" s="46"/>
      <c r="AA3" s="46"/>
      <c r="AB3" s="47" t="n">
        <f aca="false">COUNTA(D3:I3)+COUNTA(V3:AA3)</f>
        <v>4</v>
      </c>
      <c r="AC3" s="47" t="n">
        <f aca="false">COUNTIF(D3:I3,"희생플라이")+COUNTIF(V3:AA3,"희생플라이")</f>
        <v>0</v>
      </c>
      <c r="AD3" s="47" t="n">
        <f aca="false">COUNTIF(D3:I3,"희생번트")+COUNTIF(V3:AA3,"희생번트")</f>
        <v>0</v>
      </c>
      <c r="AE3" s="47" t="n">
        <f aca="false">AM3+2*O3+3*P3+4*Q3</f>
        <v>0</v>
      </c>
      <c r="AF3" s="48" t="n">
        <f aca="false">IF(AB3=0,"",IF(M3+R3+S3+AC3=0,"n.a.",(N3+R3+S3)/(M3+R3+S3+AC3)))</f>
        <v>0</v>
      </c>
      <c r="AG3" s="48" t="n">
        <f aca="false">IF(AB3=0,"",IF(M3=0,"n.a.",AE3/M3))</f>
        <v>0</v>
      </c>
      <c r="AH3" s="48" t="n">
        <f aca="false">IF(AB3=0,"",IF(AND(ISNUMBER(AF3),ISNUMBER(AG3)),AF3+AG3,"n.a."))</f>
        <v>0</v>
      </c>
      <c r="AI3" s="47" t="n">
        <f aca="false">COUNTIF(D3:I3,"포수방해")+COUNTIF(V3:AA3,"포수방해")</f>
        <v>0</v>
      </c>
      <c r="AJ3" s="47" t="n">
        <f aca="false">COUNTIF(D3:I3,"병살")+COUNTIF(V3:AA3,"병살")</f>
        <v>0</v>
      </c>
      <c r="AK3" s="47" t="n">
        <f aca="false">COUNTIF(D3:I3,"실책출루")+COUNTIF(V3:AA3,"실책출루")</f>
        <v>0</v>
      </c>
      <c r="AL3" s="47" t="n">
        <f aca="false">COUNTIF(D3:I3,"야수선택")+COUNTIF(V3:AA3,"야수선택")</f>
        <v>0</v>
      </c>
      <c r="AM3" s="47" t="n">
        <f aca="false">COUNTIF(D3:I3,"안타")+COUNTIF(V3:AA3,"안타")</f>
        <v>0</v>
      </c>
      <c r="AN3" s="49" t="n">
        <f aca="false">IF(AB3=0,"",R3/AB3)</f>
        <v>0</v>
      </c>
      <c r="AO3" s="49" t="n">
        <f aca="false">IF(AB3=0,"",T3/AB3)</f>
        <v>0.75</v>
      </c>
    </row>
    <row r="4" customFormat="false" ht="24.75" hidden="false" customHeight="true" outlineLevel="0" collapsed="false">
      <c r="A4" s="29" t="n">
        <v>3</v>
      </c>
      <c r="B4" s="29" t="s">
        <v>144</v>
      </c>
      <c r="C4" s="30" t="s">
        <v>145</v>
      </c>
      <c r="D4" s="29" t="s">
        <v>23</v>
      </c>
      <c r="E4" s="29" t="s">
        <v>34</v>
      </c>
      <c r="F4" s="29" t="s">
        <v>47</v>
      </c>
      <c r="G4" s="29" t="s">
        <v>37</v>
      </c>
      <c r="H4" s="30"/>
      <c r="I4" s="30"/>
      <c r="J4" s="30" t="n">
        <v>1</v>
      </c>
      <c r="K4" s="30" t="n">
        <v>1</v>
      </c>
      <c r="L4" s="30" t="n">
        <v>0</v>
      </c>
      <c r="M4" s="44" t="n">
        <f aca="false">AB4-R4-S4-AC4-AD4-AI4</f>
        <v>3</v>
      </c>
      <c r="N4" s="44" t="n">
        <f aca="false">SUM(O4:Q4)+AM4</f>
        <v>1</v>
      </c>
      <c r="O4" s="44" t="n">
        <f aca="false">COUNTIF(D4:I4,"2루타")+COUNTIF(V4:AA4,"2루타")</f>
        <v>0</v>
      </c>
      <c r="P4" s="44" t="n">
        <f aca="false">COUNTIF(D4:I4,"3루타")+COUNTIF(V4:AA4,"3루타")</f>
        <v>0</v>
      </c>
      <c r="Q4" s="44" t="n">
        <f aca="false">COUNTIF(D4:I4,"홈런")+COUNTIF(V4:AA4,"홈런")</f>
        <v>1</v>
      </c>
      <c r="R4" s="44" t="n">
        <f aca="false">COUNTIF(D4:I4,"볼넷")+COUNTIF(V4:AA4,"볼넷")</f>
        <v>0</v>
      </c>
      <c r="S4" s="44" t="n">
        <f aca="false">COUNTIF(D4:I4,"사구")+COUNTIF(V4:AA4,"사구")</f>
        <v>1</v>
      </c>
      <c r="T4" s="44" t="n">
        <f aca="false">COUNTIF(D4:I4,"삼진")+COUNTIF(V4:AA4,"삼진")+COUNTIF(D4:I4,"루킹삼진")+COUNTIF(V4:AA4,"루킹삼진")+COUNTIF(D4:I4,"낫아웃출루")+COUNTIF(V4:AA4,"낫아웃출루")</f>
        <v>0</v>
      </c>
      <c r="U4" s="45" t="n">
        <f aca="false">IF(AB4=0,"",IF(M4=0,"n.a.",N4/M4))</f>
        <v>0.333333333333333</v>
      </c>
      <c r="V4" s="46"/>
      <c r="W4" s="46"/>
      <c r="X4" s="46"/>
      <c r="Y4" s="46"/>
      <c r="Z4" s="46"/>
      <c r="AA4" s="46"/>
      <c r="AB4" s="47" t="n">
        <f aca="false">COUNTA(D4:I4)+COUNTA(V4:AA4)</f>
        <v>4</v>
      </c>
      <c r="AC4" s="47" t="n">
        <f aca="false">COUNTIF(D4:I4,"희생플라이")+COUNTIF(V4:AA4,"희생플라이")</f>
        <v>0</v>
      </c>
      <c r="AD4" s="47" t="n">
        <f aca="false">COUNTIF(D4:I4,"희생번트")+COUNTIF(V4:AA4,"희생번트")</f>
        <v>0</v>
      </c>
      <c r="AE4" s="47" t="n">
        <f aca="false">AM4+2*O4+3*P4+4*Q4</f>
        <v>4</v>
      </c>
      <c r="AF4" s="48" t="n">
        <f aca="false">IF(AB4=0,"",IF(M4+R4+S4+AC4=0,"n.a.",(N4+R4+S4)/(M4+R4+S4+AC4)))</f>
        <v>0.5</v>
      </c>
      <c r="AG4" s="48" t="n">
        <f aca="false">IF(AB4=0,"",IF(M4=0,"n.a.",AE4/M4))</f>
        <v>1.33333333333333</v>
      </c>
      <c r="AH4" s="48" t="n">
        <f aca="false">IF(AB4=0,"",IF(AND(ISNUMBER(AF4),ISNUMBER(AG4)),AF4+AG4,"n.a."))</f>
        <v>1.83333333333333</v>
      </c>
      <c r="AI4" s="47" t="n">
        <f aca="false">COUNTIF(D4:I4,"포수방해")+COUNTIF(V4:AA4,"포수방해")</f>
        <v>0</v>
      </c>
      <c r="AJ4" s="47" t="n">
        <f aca="false">COUNTIF(D4:I4,"병살")+COUNTIF(V4:AA4,"병살")</f>
        <v>0</v>
      </c>
      <c r="AK4" s="47" t="n">
        <f aca="false">COUNTIF(D4:I4,"실책출루")+COUNTIF(V4:AA4,"실책출루")</f>
        <v>0</v>
      </c>
      <c r="AL4" s="47" t="n">
        <f aca="false">COUNTIF(D4:I4,"야수선택")+COUNTIF(V4:AA4,"야수선택")</f>
        <v>0</v>
      </c>
      <c r="AM4" s="47" t="n">
        <f aca="false">COUNTIF(D4:I4,"안타")+COUNTIF(V4:AA4,"안타")</f>
        <v>0</v>
      </c>
      <c r="AN4" s="49" t="n">
        <f aca="false">IF(AB4=0,"",R4/AB4)</f>
        <v>0</v>
      </c>
      <c r="AO4" s="49" t="n">
        <f aca="false">IF(AB4=0,"",T4/AB4)</f>
        <v>0</v>
      </c>
    </row>
    <row r="5" customFormat="false" ht="24.75" hidden="false" customHeight="true" outlineLevel="0" collapsed="false">
      <c r="A5" s="29" t="n">
        <v>4</v>
      </c>
      <c r="B5" s="29" t="s">
        <v>146</v>
      </c>
      <c r="C5" s="30" t="s">
        <v>147</v>
      </c>
      <c r="D5" s="29" t="s">
        <v>50</v>
      </c>
      <c r="E5" s="29" t="s">
        <v>13</v>
      </c>
      <c r="F5" s="29" t="s">
        <v>39</v>
      </c>
      <c r="G5" s="29" t="s">
        <v>80</v>
      </c>
      <c r="H5" s="30"/>
      <c r="I5" s="30"/>
      <c r="J5" s="30" t="n">
        <v>0</v>
      </c>
      <c r="K5" s="30" t="n">
        <v>0</v>
      </c>
      <c r="L5" s="30" t="n">
        <v>0</v>
      </c>
      <c r="M5" s="44" t="n">
        <f aca="false">AB5-R5-S5-AC5-AD5-AI5</f>
        <v>2</v>
      </c>
      <c r="N5" s="44" t="n">
        <f aca="false">SUM(O5:Q5)+AM5</f>
        <v>1</v>
      </c>
      <c r="O5" s="44" t="n">
        <f aca="false">COUNTIF(D5:I5,"2루타")+COUNTIF(V5:AA5,"2루타")</f>
        <v>0</v>
      </c>
      <c r="P5" s="44" t="n">
        <f aca="false">COUNTIF(D5:I5,"3루타")+COUNTIF(V5:AA5,"3루타")</f>
        <v>0</v>
      </c>
      <c r="Q5" s="44" t="n">
        <f aca="false">COUNTIF(D5:I5,"홈런")+COUNTIF(V5:AA5,"홈런")</f>
        <v>0</v>
      </c>
      <c r="R5" s="44" t="n">
        <f aca="false">COUNTIF(D5:I5,"볼넷")+COUNTIF(V5:AA5,"볼넷")</f>
        <v>0</v>
      </c>
      <c r="S5" s="44" t="n">
        <f aca="false">COUNTIF(D5:I5,"사구")+COUNTIF(V5:AA5,"사구")</f>
        <v>0</v>
      </c>
      <c r="T5" s="44" t="n">
        <f aca="false">COUNTIF(D5:I5,"삼진")+COUNTIF(V5:AA5,"삼진")+COUNTIF(D5:I5,"루킹삼진")+COUNTIF(V5:AA5,"루킹삼진")+COUNTIF(D5:I5,"낫아웃출루")+COUNTIF(V5:AA5,"낫아웃출루")</f>
        <v>0</v>
      </c>
      <c r="U5" s="45" t="n">
        <f aca="false">IF(AB5=0,"",IF(M5=0,"n.a.",N5/M5))</f>
        <v>0.5</v>
      </c>
      <c r="V5" s="46"/>
      <c r="W5" s="46"/>
      <c r="X5" s="46"/>
      <c r="Y5" s="46"/>
      <c r="Z5" s="46"/>
      <c r="AA5" s="46"/>
      <c r="AB5" s="47" t="n">
        <f aca="false">COUNTA(D5:I5)+COUNTA(V5:AA5)</f>
        <v>4</v>
      </c>
      <c r="AC5" s="47" t="n">
        <f aca="false">COUNTIF(D5:I5,"희생플라이")+COUNTIF(V5:AA5,"희생플라이")</f>
        <v>0</v>
      </c>
      <c r="AD5" s="47" t="n">
        <f aca="false">COUNTIF(D5:I5,"희생번트")+COUNTIF(V5:AA5,"희생번트")</f>
        <v>1</v>
      </c>
      <c r="AE5" s="47" t="n">
        <f aca="false">AM5+2*O5+3*P5+4*Q5</f>
        <v>1</v>
      </c>
      <c r="AF5" s="48" t="n">
        <f aca="false">IF(AB5=0,"",IF(M5+R5+S5+AC5=0,"n.a.",(N5+R5+S5)/(M5+R5+S5+AC5)))</f>
        <v>0.5</v>
      </c>
      <c r="AG5" s="48" t="n">
        <f aca="false">IF(AB5=0,"",IF(M5=0,"n.a.",AE5/M5))</f>
        <v>0.5</v>
      </c>
      <c r="AH5" s="48" t="n">
        <f aca="false">IF(AB5=0,"",IF(AND(ISNUMBER(AF5),ISNUMBER(AG5)),AF5+AG5,"n.a."))</f>
        <v>1</v>
      </c>
      <c r="AI5" s="47" t="n">
        <f aca="false">COUNTIF(D5:I5,"포수방해")+COUNTIF(V5:AA5,"포수방해")</f>
        <v>1</v>
      </c>
      <c r="AJ5" s="47" t="n">
        <f aca="false">COUNTIF(D5:I5,"병살")+COUNTIF(V5:AA5,"병살")</f>
        <v>1</v>
      </c>
      <c r="AK5" s="47" t="n">
        <f aca="false">COUNTIF(D5:I5,"실책출루")+COUNTIF(V5:AA5,"실책출루")</f>
        <v>0</v>
      </c>
      <c r="AL5" s="47" t="n">
        <f aca="false">COUNTIF(D5:I5,"야수선택")+COUNTIF(V5:AA5,"야수선택")</f>
        <v>0</v>
      </c>
      <c r="AM5" s="47" t="n">
        <f aca="false">COUNTIF(D5:I5,"안타")+COUNTIF(V5:AA5,"안타")</f>
        <v>1</v>
      </c>
      <c r="AN5" s="49" t="n">
        <f aca="false">IF(AB5=0,"",R5/AB5)</f>
        <v>0</v>
      </c>
      <c r="AO5" s="49" t="n">
        <f aca="false">IF(AB5=0,"",T5/AB5)</f>
        <v>0</v>
      </c>
    </row>
    <row r="6" customFormat="false" ht="24.75" hidden="false" customHeight="true" outlineLevel="0" collapsed="false">
      <c r="A6" s="29" t="n">
        <v>5</v>
      </c>
      <c r="B6" s="29" t="s">
        <v>148</v>
      </c>
      <c r="C6" s="30" t="s">
        <v>149</v>
      </c>
      <c r="D6" s="29" t="s">
        <v>45</v>
      </c>
      <c r="E6" s="30" t="s">
        <v>150</v>
      </c>
      <c r="F6" s="29" t="s">
        <v>41</v>
      </c>
      <c r="G6" s="30"/>
      <c r="H6" s="30"/>
      <c r="I6" s="30"/>
      <c r="J6" s="30" t="n">
        <v>1</v>
      </c>
      <c r="K6" s="30" t="n">
        <v>1</v>
      </c>
      <c r="L6" s="30" t="n">
        <v>0</v>
      </c>
      <c r="M6" s="44" t="n">
        <f aca="false">AB6-R6-S6-AC6-AD6-AI6</f>
        <v>2</v>
      </c>
      <c r="N6" s="44" t="n">
        <f aca="false">SUM(O6:Q6)+AM6</f>
        <v>1</v>
      </c>
      <c r="O6" s="44" t="n">
        <f aca="false">COUNTIF(D6:I6,"2루타")+COUNTIF(V6:AA6,"2루타")</f>
        <v>0</v>
      </c>
      <c r="P6" s="44" t="n">
        <f aca="false">COUNTIF(D6:I6,"3루타")+COUNTIF(V6:AA6,"3루타")</f>
        <v>1</v>
      </c>
      <c r="Q6" s="44" t="n">
        <f aca="false">COUNTIF(D6:I6,"홈런")+COUNTIF(V6:AA6,"홈런")</f>
        <v>0</v>
      </c>
      <c r="R6" s="44" t="n">
        <f aca="false">COUNTIF(D6:I6,"볼넷")+COUNTIF(V6:AA6,"볼넷")</f>
        <v>1</v>
      </c>
      <c r="S6" s="44" t="n">
        <f aca="false">COUNTIF(D6:I6,"사구")+COUNTIF(V6:AA6,"사구")</f>
        <v>0</v>
      </c>
      <c r="T6" s="44" t="n">
        <f aca="false">COUNTIF(D6:I6,"삼진")+COUNTIF(V6:AA6,"삼진")+COUNTIF(D6:I6,"루킹삼진")+COUNTIF(V6:AA6,"루킹삼진")+COUNTIF(D6:I6,"낫아웃출루")+COUNTIF(V6:AA6,"낫아웃출루")</f>
        <v>0</v>
      </c>
      <c r="U6" s="45" t="n">
        <f aca="false">IF(AB6=0,"",IF(M6=0,"n.a.",N6/M6))</f>
        <v>0.5</v>
      </c>
      <c r="V6" s="46"/>
      <c r="W6" s="46"/>
      <c r="X6" s="46"/>
      <c r="Y6" s="46"/>
      <c r="Z6" s="46"/>
      <c r="AA6" s="46"/>
      <c r="AB6" s="47" t="n">
        <f aca="false">COUNTA(D6:I6)+COUNTA(V6:AA6)</f>
        <v>3</v>
      </c>
      <c r="AC6" s="47" t="n">
        <f aca="false">COUNTIF(D6:I6,"희생플라이")+COUNTIF(V6:AA6,"희생플라이")</f>
        <v>0</v>
      </c>
      <c r="AD6" s="47" t="n">
        <f aca="false">COUNTIF(D6:I6,"희생번트")+COUNTIF(V6:AA6,"희생번트")</f>
        <v>0</v>
      </c>
      <c r="AE6" s="47" t="n">
        <f aca="false">AM6+2*O6+3*P6+4*Q6</f>
        <v>3</v>
      </c>
      <c r="AF6" s="48" t="n">
        <f aca="false">IF(AB6=0,"",IF(M6+R6+S6+AC6=0,"n.a.",(N6+R6+S6)/(M6+R6+S6+AC6)))</f>
        <v>0.666666666666667</v>
      </c>
      <c r="AG6" s="48" t="n">
        <f aca="false">IF(AB6=0,"",IF(M6=0,"n.a.",AE6/M6))</f>
        <v>1.5</v>
      </c>
      <c r="AH6" s="48" t="n">
        <f aca="false">IF(AB6=0,"",IF(AND(ISNUMBER(AF6),ISNUMBER(AG6)),AF6+AG6,"n.a."))</f>
        <v>2.16666666666667</v>
      </c>
      <c r="AI6" s="47" t="n">
        <f aca="false">COUNTIF(D6:I6,"포수방해")+COUNTIF(V6:AA6,"포수방해")</f>
        <v>0</v>
      </c>
      <c r="AJ6" s="47" t="n">
        <f aca="false">COUNTIF(D6:I6,"병살")+COUNTIF(V6:AA6,"병살")</f>
        <v>0</v>
      </c>
      <c r="AK6" s="47" t="n">
        <f aca="false">COUNTIF(D6:I6,"실책출루")+COUNTIF(V6:AA6,"실책출루")</f>
        <v>1</v>
      </c>
      <c r="AL6" s="47" t="n">
        <f aca="false">COUNTIF(D6:I6,"야수선택")+COUNTIF(V6:AA6,"야수선택")</f>
        <v>0</v>
      </c>
      <c r="AM6" s="47" t="n">
        <f aca="false">COUNTIF(D6:I6,"안타")+COUNTIF(V6:AA6,"안타")</f>
        <v>0</v>
      </c>
      <c r="AN6" s="49" t="n">
        <f aca="false">IF(AB6=0,"",R6/AB6)</f>
        <v>0.333333333333333</v>
      </c>
      <c r="AO6" s="49" t="n">
        <f aca="false">IF(AB6=0,"",T6/AB6)</f>
        <v>0</v>
      </c>
    </row>
    <row r="7" customFormat="false" ht="24.75" hidden="false" customHeight="true" outlineLevel="0" collapsed="false">
      <c r="A7" s="29" t="n">
        <v>6</v>
      </c>
      <c r="B7" s="29" t="s">
        <v>151</v>
      </c>
      <c r="C7" s="30" t="s">
        <v>152</v>
      </c>
      <c r="D7" s="29" t="s">
        <v>43</v>
      </c>
      <c r="E7" s="29" t="s">
        <v>31</v>
      </c>
      <c r="F7" s="29" t="s">
        <v>13</v>
      </c>
      <c r="G7" s="30"/>
      <c r="H7" s="30"/>
      <c r="I7" s="30"/>
      <c r="J7" s="30" t="n">
        <v>0</v>
      </c>
      <c r="K7" s="30" t="n">
        <v>0</v>
      </c>
      <c r="L7" s="30" t="n">
        <v>1</v>
      </c>
      <c r="M7" s="44" t="n">
        <f aca="false">AB7-R7-S7-AC7-AD7-AI7</f>
        <v>3</v>
      </c>
      <c r="N7" s="44" t="n">
        <f aca="false">SUM(O7:Q7)+AM7</f>
        <v>1</v>
      </c>
      <c r="O7" s="44" t="n">
        <f aca="false">COUNTIF(D7:I7,"2루타")+COUNTIF(V7:AA7,"2루타")</f>
        <v>0</v>
      </c>
      <c r="P7" s="44" t="n">
        <f aca="false">COUNTIF(D7:I7,"3루타")+COUNTIF(V7:AA7,"3루타")</f>
        <v>0</v>
      </c>
      <c r="Q7" s="44" t="n">
        <f aca="false">COUNTIF(D7:I7,"홈런")+COUNTIF(V7:AA7,"홈런")</f>
        <v>0</v>
      </c>
      <c r="R7" s="44" t="n">
        <f aca="false">COUNTIF(D7:I7,"볼넷")+COUNTIF(V7:AA7,"볼넷")</f>
        <v>0</v>
      </c>
      <c r="S7" s="44" t="n">
        <f aca="false">COUNTIF(D7:I7,"사구")+COUNTIF(V7:AA7,"사구")</f>
        <v>0</v>
      </c>
      <c r="T7" s="44" t="n">
        <f aca="false">COUNTIF(D7:I7,"삼진")+COUNTIF(V7:AA7,"삼진")+COUNTIF(D7:I7,"루킹삼진")+COUNTIF(V7:AA7,"루킹삼진")+COUNTIF(D7:I7,"낫아웃출루")+COUNTIF(V7:AA7,"낫아웃출루")</f>
        <v>0</v>
      </c>
      <c r="U7" s="45" t="n">
        <f aca="false">IF(AB7=0,"",IF(M7=0,"n.a.",N7/M7))</f>
        <v>0.333333333333333</v>
      </c>
      <c r="V7" s="46"/>
      <c r="W7" s="46"/>
      <c r="X7" s="46"/>
      <c r="Y7" s="46"/>
      <c r="Z7" s="46"/>
      <c r="AA7" s="46"/>
      <c r="AB7" s="47" t="n">
        <f aca="false">COUNTA(D7:I7)+COUNTA(V7:AA7)</f>
        <v>3</v>
      </c>
      <c r="AC7" s="47" t="n">
        <f aca="false">COUNTIF(D7:I7,"희생플라이")+COUNTIF(V7:AA7,"희생플라이")</f>
        <v>0</v>
      </c>
      <c r="AD7" s="47" t="n">
        <f aca="false">COUNTIF(D7:I7,"희생번트")+COUNTIF(V7:AA7,"희생번트")</f>
        <v>0</v>
      </c>
      <c r="AE7" s="47" t="n">
        <f aca="false">AM7+2*O7+3*P7+4*Q7</f>
        <v>1</v>
      </c>
      <c r="AF7" s="48" t="n">
        <f aca="false">IF(AB7=0,"",IF(M7+R7+S7+AC7=0,"n.a.",(N7+R7+S7)/(M7+R7+S7+AC7)))</f>
        <v>0.333333333333333</v>
      </c>
      <c r="AG7" s="48" t="n">
        <f aca="false">IF(AB7=0,"",IF(M7=0,"n.a.",AE7/M7))</f>
        <v>0.333333333333333</v>
      </c>
      <c r="AH7" s="48" t="n">
        <f aca="false">IF(AB7=0,"",IF(AND(ISNUMBER(AF7),ISNUMBER(AG7)),AF7+AG7,"n.a."))</f>
        <v>0.666666666666667</v>
      </c>
      <c r="AI7" s="47" t="n">
        <f aca="false">COUNTIF(D7:I7,"포수방해")+COUNTIF(V7:AA7,"포수방해")</f>
        <v>0</v>
      </c>
      <c r="AJ7" s="47" t="n">
        <f aca="false">COUNTIF(D7:I7,"병살")+COUNTIF(V7:AA7,"병살")</f>
        <v>0</v>
      </c>
      <c r="AK7" s="47" t="n">
        <f aca="false">COUNTIF(D7:I7,"실책출루")+COUNTIF(V7:AA7,"실책출루")</f>
        <v>0</v>
      </c>
      <c r="AL7" s="47" t="n">
        <f aca="false">COUNTIF(D7:I7,"야수선택")+COUNTIF(V7:AA7,"야수선택")</f>
        <v>1</v>
      </c>
      <c r="AM7" s="47" t="n">
        <f aca="false">COUNTIF(D7:I7,"안타")+COUNTIF(V7:AA7,"안타")</f>
        <v>1</v>
      </c>
      <c r="AN7" s="49" t="n">
        <f aca="false">IF(AB7=0,"",R7/AB7)</f>
        <v>0</v>
      </c>
      <c r="AO7" s="49" t="n">
        <f aca="false">IF(AB7=0,"",T7/AB7)</f>
        <v>0</v>
      </c>
    </row>
    <row r="8" customFormat="false" ht="24.75" hidden="false" customHeight="true" outlineLevel="0" collapsed="false">
      <c r="A8" s="29" t="n">
        <v>7</v>
      </c>
      <c r="B8" s="29" t="s">
        <v>153</v>
      </c>
      <c r="C8" s="30" t="s">
        <v>154</v>
      </c>
      <c r="D8" s="29" t="s">
        <v>34</v>
      </c>
      <c r="E8" s="29" t="s">
        <v>25</v>
      </c>
      <c r="F8" s="29" t="s">
        <v>45</v>
      </c>
      <c r="G8" s="30"/>
      <c r="H8" s="30"/>
      <c r="I8" s="30"/>
      <c r="J8" s="30" t="n">
        <v>0</v>
      </c>
      <c r="K8" s="30" t="n">
        <v>0</v>
      </c>
      <c r="L8" s="30" t="n">
        <v>0</v>
      </c>
      <c r="M8" s="44" t="n">
        <f aca="false">AB8-R8-S8-AC8-AD8-AI8</f>
        <v>2</v>
      </c>
      <c r="N8" s="44" t="n">
        <f aca="false">SUM(O8:Q8)+AM8</f>
        <v>0</v>
      </c>
      <c r="O8" s="44" t="n">
        <f aca="false">COUNTIF(D8:I8,"2루타")+COUNTIF(V8:AA8,"2루타")</f>
        <v>0</v>
      </c>
      <c r="P8" s="44" t="n">
        <f aca="false">COUNTIF(D8:I8,"3루타")+COUNTIF(V8:AA8,"3루타")</f>
        <v>0</v>
      </c>
      <c r="Q8" s="44" t="n">
        <f aca="false">COUNTIF(D8:I8,"홈런")+COUNTIF(V8:AA8,"홈런")</f>
        <v>0</v>
      </c>
      <c r="R8" s="44" t="n">
        <f aca="false">COUNTIF(D8:I8,"볼넷")+COUNTIF(V8:AA8,"볼넷")</f>
        <v>1</v>
      </c>
      <c r="S8" s="44" t="n">
        <f aca="false">COUNTIF(D8:I8,"사구")+COUNTIF(V8:AA8,"사구")</f>
        <v>0</v>
      </c>
      <c r="T8" s="44" t="n">
        <f aca="false">COUNTIF(D8:I8,"삼진")+COUNTIF(V8:AA8,"삼진")+COUNTIF(D8:I8,"루킹삼진")+COUNTIF(V8:AA8,"루킹삼진")+COUNTIF(D8:I8,"낫아웃출루")+COUNTIF(V8:AA8,"낫아웃출루")</f>
        <v>1</v>
      </c>
      <c r="U8" s="45" t="n">
        <f aca="false">IF(AB8=0,"",IF(M8=0,"n.a.",N8/M8))</f>
        <v>0</v>
      </c>
      <c r="V8" s="46"/>
      <c r="W8" s="46"/>
      <c r="X8" s="46"/>
      <c r="Y8" s="46"/>
      <c r="Z8" s="46"/>
      <c r="AA8" s="46"/>
      <c r="AB8" s="47" t="n">
        <f aca="false">COUNTA(D8:I8)+COUNTA(V8:AA8)</f>
        <v>3</v>
      </c>
      <c r="AC8" s="47" t="n">
        <f aca="false">COUNTIF(D8:I8,"희생플라이")+COUNTIF(V8:AA8,"희생플라이")</f>
        <v>0</v>
      </c>
      <c r="AD8" s="47" t="n">
        <f aca="false">COUNTIF(D8:I8,"희생번트")+COUNTIF(V8:AA8,"희생번트")</f>
        <v>0</v>
      </c>
      <c r="AE8" s="47" t="n">
        <f aca="false">AM8+2*O8+3*P8+4*Q8</f>
        <v>0</v>
      </c>
      <c r="AF8" s="48" t="n">
        <f aca="false">IF(AB8=0,"",IF(M8+R8+S8+AC8=0,"n.a.",(N8+R8+S8)/(M8+R8+S8+AC8)))</f>
        <v>0.333333333333333</v>
      </c>
      <c r="AG8" s="48" t="n">
        <f aca="false">IF(AB8=0,"",IF(M8=0,"n.a.",AE8/M8))</f>
        <v>0</v>
      </c>
      <c r="AH8" s="48" t="n">
        <f aca="false">IF(AB8=0,"",IF(AND(ISNUMBER(AF8),ISNUMBER(AG8)),AF8+AG8,"n.a."))</f>
        <v>0.333333333333333</v>
      </c>
      <c r="AI8" s="47" t="n">
        <f aca="false">COUNTIF(D8:I8,"포수방해")+COUNTIF(V8:AA8,"포수방해")</f>
        <v>0</v>
      </c>
      <c r="AJ8" s="47" t="n">
        <f aca="false">COUNTIF(D8:I8,"병살")+COUNTIF(V8:AA8,"병살")</f>
        <v>0</v>
      </c>
      <c r="AK8" s="47" t="n">
        <f aca="false">COUNTIF(D8:I8,"실책출루")+COUNTIF(V8:AA8,"실책출루")</f>
        <v>0</v>
      </c>
      <c r="AL8" s="47" t="n">
        <f aca="false">COUNTIF(D8:I8,"야수선택")+COUNTIF(V8:AA8,"야수선택")</f>
        <v>0</v>
      </c>
      <c r="AM8" s="47" t="n">
        <f aca="false">COUNTIF(D8:I8,"안타")+COUNTIF(V8:AA8,"안타")</f>
        <v>0</v>
      </c>
      <c r="AN8" s="49" t="n">
        <f aca="false">IF(AB8=0,"",R8/AB8)</f>
        <v>0.333333333333333</v>
      </c>
      <c r="AO8" s="49" t="n">
        <f aca="false">IF(AB8=0,"",T8/AB8)</f>
        <v>0.333333333333333</v>
      </c>
    </row>
    <row r="9" customFormat="false" ht="24.75" hidden="false" customHeight="true" outlineLevel="0" collapsed="false">
      <c r="A9" s="29" t="n">
        <v>8</v>
      </c>
      <c r="B9" s="29" t="s">
        <v>155</v>
      </c>
      <c r="C9" s="30" t="s">
        <v>156</v>
      </c>
      <c r="D9" s="29" t="s">
        <v>31</v>
      </c>
      <c r="E9" s="30" t="s">
        <v>141</v>
      </c>
      <c r="F9" s="29" t="s">
        <v>13</v>
      </c>
      <c r="G9" s="30"/>
      <c r="H9" s="30"/>
      <c r="I9" s="30"/>
      <c r="J9" s="30" t="n">
        <v>1</v>
      </c>
      <c r="K9" s="30" t="n">
        <v>0</v>
      </c>
      <c r="L9" s="30" t="n">
        <v>0</v>
      </c>
      <c r="M9" s="44" t="n">
        <f aca="false">AB9-R9-S9-AC9-AD9-AI9</f>
        <v>3</v>
      </c>
      <c r="N9" s="44" t="n">
        <f aca="false">SUM(O9:Q9)+AM9</f>
        <v>2</v>
      </c>
      <c r="O9" s="44" t="n">
        <f aca="false">COUNTIF(D9:I9,"2루타")+COUNTIF(V9:AA9,"2루타")</f>
        <v>1</v>
      </c>
      <c r="P9" s="44" t="n">
        <f aca="false">COUNTIF(D9:I9,"3루타")+COUNTIF(V9:AA9,"3루타")</f>
        <v>0</v>
      </c>
      <c r="Q9" s="44" t="n">
        <f aca="false">COUNTIF(D9:I9,"홈런")+COUNTIF(V9:AA9,"홈런")</f>
        <v>0</v>
      </c>
      <c r="R9" s="44" t="n">
        <f aca="false">COUNTIF(D9:I9,"볼넷")+COUNTIF(V9:AA9,"볼넷")</f>
        <v>0</v>
      </c>
      <c r="S9" s="44" t="n">
        <f aca="false">COUNTIF(D9:I9,"사구")+COUNTIF(V9:AA9,"사구")</f>
        <v>0</v>
      </c>
      <c r="T9" s="44" t="n">
        <f aca="false">COUNTIF(D9:I9,"삼진")+COUNTIF(V9:AA9,"삼진")+COUNTIF(D9:I9,"루킹삼진")+COUNTIF(V9:AA9,"루킹삼진")+COUNTIF(D9:I9,"낫아웃출루")+COUNTIF(V9:AA9,"낫아웃출루")</f>
        <v>0</v>
      </c>
      <c r="U9" s="45" t="n">
        <f aca="false">IF(AB9=0,"",IF(M9=0,"n.a.",N9/M9))</f>
        <v>0.666666666666667</v>
      </c>
      <c r="V9" s="46"/>
      <c r="W9" s="46"/>
      <c r="X9" s="46"/>
      <c r="Y9" s="46"/>
      <c r="Z9" s="46"/>
      <c r="AA9" s="46"/>
      <c r="AB9" s="47" t="n">
        <f aca="false">COUNTA(D9:I9)+COUNTA(V9:AA9)</f>
        <v>3</v>
      </c>
      <c r="AC9" s="47" t="n">
        <f aca="false">COUNTIF(D9:I9,"희생플라이")+COUNTIF(V9:AA9,"희생플라이")</f>
        <v>0</v>
      </c>
      <c r="AD9" s="47" t="n">
        <f aca="false">COUNTIF(D9:I9,"희생번트")+COUNTIF(V9:AA9,"희생번트")</f>
        <v>0</v>
      </c>
      <c r="AE9" s="47" t="n">
        <f aca="false">AM9+2*O9+3*P9+4*Q9</f>
        <v>3</v>
      </c>
      <c r="AF9" s="48" t="n">
        <f aca="false">IF(AB9=0,"",IF(M9+R9+S9+AC9=0,"n.a.",(N9+R9+S9)/(M9+R9+S9+AC9)))</f>
        <v>0.666666666666667</v>
      </c>
      <c r="AG9" s="48" t="n">
        <f aca="false">IF(AB9=0,"",IF(M9=0,"n.a.",AE9/M9))</f>
        <v>1</v>
      </c>
      <c r="AH9" s="48" t="n">
        <f aca="false">IF(AB9=0,"",IF(AND(ISNUMBER(AF9),ISNUMBER(AG9)),AF9+AG9,"n.a."))</f>
        <v>1.66666666666667</v>
      </c>
      <c r="AI9" s="47" t="n">
        <f aca="false">COUNTIF(D9:I9,"포수방해")+COUNTIF(V9:AA9,"포수방해")</f>
        <v>0</v>
      </c>
      <c r="AJ9" s="47" t="n">
        <f aca="false">COUNTIF(D9:I9,"병살")+COUNTIF(V9:AA9,"병살")</f>
        <v>0</v>
      </c>
      <c r="AK9" s="47" t="n">
        <f aca="false">COUNTIF(D9:I9,"실책출루")+COUNTIF(V9:AA9,"실책출루")</f>
        <v>0</v>
      </c>
      <c r="AL9" s="47" t="n">
        <f aca="false">COUNTIF(D9:I9,"야수선택")+COUNTIF(V9:AA9,"야수선택")</f>
        <v>0</v>
      </c>
      <c r="AM9" s="47" t="n">
        <f aca="false">COUNTIF(D9:I9,"안타")+COUNTIF(V9:AA9,"안타")</f>
        <v>1</v>
      </c>
      <c r="AN9" s="49" t="n">
        <f aca="false">IF(AB9=0,"",R9/AB9)</f>
        <v>0</v>
      </c>
      <c r="AO9" s="49" t="n">
        <f aca="false">IF(AB9=0,"",T9/AB9)</f>
        <v>0</v>
      </c>
    </row>
    <row r="10" customFormat="false" ht="24.75" hidden="false" customHeight="true" outlineLevel="0" collapsed="false">
      <c r="A10" s="29" t="n">
        <v>9</v>
      </c>
      <c r="B10" s="29" t="s">
        <v>157</v>
      </c>
      <c r="C10" s="30" t="s">
        <v>158</v>
      </c>
      <c r="D10" s="29" t="s">
        <v>25</v>
      </c>
      <c r="E10" s="29" t="s">
        <v>34</v>
      </c>
      <c r="F10" s="30"/>
      <c r="G10" s="30"/>
      <c r="H10" s="30"/>
      <c r="I10" s="30"/>
      <c r="J10" s="30" t="n">
        <v>0</v>
      </c>
      <c r="K10" s="30" t="n">
        <v>0</v>
      </c>
      <c r="L10" s="30" t="n">
        <v>0</v>
      </c>
      <c r="M10" s="44" t="n">
        <f aca="false">AB10-R10-S10-AC10-AD10-AI10</f>
        <v>2</v>
      </c>
      <c r="N10" s="44" t="n">
        <f aca="false">SUM(O10:Q10)+AM10</f>
        <v>0</v>
      </c>
      <c r="O10" s="44" t="n">
        <f aca="false">COUNTIF(D10:I10,"2루타")+COUNTIF(V10:AA10,"2루타")</f>
        <v>0</v>
      </c>
      <c r="P10" s="44" t="n">
        <f aca="false">COUNTIF(D10:I10,"3루타")+COUNTIF(V10:AA10,"3루타")</f>
        <v>0</v>
      </c>
      <c r="Q10" s="44" t="n">
        <f aca="false">COUNTIF(D10:I10,"홈런")+COUNTIF(V10:AA10,"홈런")</f>
        <v>0</v>
      </c>
      <c r="R10" s="44" t="n">
        <f aca="false">COUNTIF(D10:I10,"볼넷")+COUNTIF(V10:AA10,"볼넷")</f>
        <v>0</v>
      </c>
      <c r="S10" s="44" t="n">
        <f aca="false">COUNTIF(D10:I10,"사구")+COUNTIF(V10:AA10,"사구")</f>
        <v>0</v>
      </c>
      <c r="T10" s="44" t="n">
        <f aca="false">COUNTIF(D10:I10,"삼진")+COUNTIF(V10:AA10,"삼진")+COUNTIF(D10:I10,"루킹삼진")+COUNTIF(V10:AA10,"루킹삼진")+COUNTIF(D10:I10,"낫아웃출루")+COUNTIF(V10:AA10,"낫아웃출루")</f>
        <v>1</v>
      </c>
      <c r="U10" s="45" t="n">
        <f aca="false">IF(AB10=0,"",IF(M10=0,"n.a.",N10/M10))</f>
        <v>0</v>
      </c>
      <c r="V10" s="46"/>
      <c r="W10" s="46"/>
      <c r="X10" s="46"/>
      <c r="Y10" s="46"/>
      <c r="Z10" s="46"/>
      <c r="AA10" s="46"/>
      <c r="AB10" s="47" t="n">
        <f aca="false">COUNTA(D10:I10)+COUNTA(V10:AA10)</f>
        <v>2</v>
      </c>
      <c r="AC10" s="47" t="n">
        <f aca="false">COUNTIF(D10:I10,"희생플라이")+COUNTIF(V10:AA10,"희생플라이")</f>
        <v>0</v>
      </c>
      <c r="AD10" s="47" t="n">
        <f aca="false">COUNTIF(D10:I10,"희생번트")+COUNTIF(V10:AA10,"희생번트")</f>
        <v>0</v>
      </c>
      <c r="AE10" s="47" t="n">
        <f aca="false">AM10+2*O10+3*P10+4*Q10</f>
        <v>0</v>
      </c>
      <c r="AF10" s="48" t="n">
        <f aca="false">IF(AB10=0,"",IF(M10+R10+S10+AC10=0,"n.a.",(N10+R10+S10)/(M10+R10+S10+AC10)))</f>
        <v>0</v>
      </c>
      <c r="AG10" s="48" t="n">
        <f aca="false">IF(AB10=0,"",IF(M10=0,"n.a.",AE10/M10))</f>
        <v>0</v>
      </c>
      <c r="AH10" s="48" t="n">
        <f aca="false">IF(AB10=0,"",IF(AND(ISNUMBER(AF10),ISNUMBER(AG10)),AF10+AG10,"n.a."))</f>
        <v>0</v>
      </c>
      <c r="AI10" s="47" t="n">
        <f aca="false">COUNTIF(D10:I10,"포수방해")+COUNTIF(V10:AA10,"포수방해")</f>
        <v>0</v>
      </c>
      <c r="AJ10" s="47" t="n">
        <f aca="false">COUNTIF(D10:I10,"병살")+COUNTIF(V10:AA10,"병살")</f>
        <v>0</v>
      </c>
      <c r="AK10" s="47" t="n">
        <f aca="false">COUNTIF(D10:I10,"실책출루")+COUNTIF(V10:AA10,"실책출루")</f>
        <v>0</v>
      </c>
      <c r="AL10" s="47" t="n">
        <f aca="false">COUNTIF(D10:I10,"야수선택")+COUNTIF(V10:AA10,"야수선택")</f>
        <v>0</v>
      </c>
      <c r="AM10" s="47" t="n">
        <f aca="false">COUNTIF(D10:I10,"안타")+COUNTIF(V10:AA10,"안타")</f>
        <v>0</v>
      </c>
      <c r="AN10" s="49" t="n">
        <f aca="false">IF(AB10=0,"",R10/AB10)</f>
        <v>0</v>
      </c>
      <c r="AO10" s="49" t="n">
        <f aca="false">IF(AB10=0,"",T10/AB10)</f>
        <v>0.5</v>
      </c>
    </row>
    <row r="11" customFormat="false" ht="24.75" hidden="false" customHeight="true" outlineLevel="0" collapsed="false">
      <c r="A11" s="29"/>
      <c r="B11" s="29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44" t="n">
        <f aca="false">AB11-R11-S11-AC11-AD11-AI11</f>
        <v>0</v>
      </c>
      <c r="N11" s="44" t="n">
        <f aca="false">SUM(O11:Q11)+AM11</f>
        <v>0</v>
      </c>
      <c r="O11" s="44" t="n">
        <f aca="false">COUNTIF(D11:I11,"2루타")+COUNTIF(V11:AA11,"2루타")</f>
        <v>0</v>
      </c>
      <c r="P11" s="44" t="n">
        <f aca="false">COUNTIF(D11:I11,"3루타")+COUNTIF(V11:AA11,"3루타")</f>
        <v>0</v>
      </c>
      <c r="Q11" s="44" t="n">
        <f aca="false">COUNTIF(D11:I11,"홈런")+COUNTIF(V11:AA11,"홈런")</f>
        <v>0</v>
      </c>
      <c r="R11" s="44" t="n">
        <f aca="false">COUNTIF(D11:I11,"볼넷")+COUNTIF(V11:AA11,"볼넷")</f>
        <v>0</v>
      </c>
      <c r="S11" s="44" t="n">
        <f aca="false">COUNTIF(D11:I11,"사구")+COUNTIF(V11:AA11,"사구")</f>
        <v>0</v>
      </c>
      <c r="T11" s="44" t="n">
        <f aca="false">COUNTIF(D11:I11,"삼진")+COUNTIF(V11:AA11,"삼진")+COUNTIF(D11:I11,"루킹삼진")+COUNTIF(V11:AA11,"루킹삼진")+COUNTIF(D11:I11,"낫아웃출루")+COUNTIF(V11:AA11,"낫아웃출루")</f>
        <v>0</v>
      </c>
      <c r="U11" s="45" t="str">
        <f aca="false">IF(AB11=0,"",IF(M11=0,"n.a.",N11/M11))</f>
        <v/>
      </c>
      <c r="V11" s="46"/>
      <c r="W11" s="46"/>
      <c r="X11" s="46"/>
      <c r="Y11" s="46"/>
      <c r="Z11" s="46"/>
      <c r="AA11" s="46"/>
      <c r="AB11" s="47" t="n">
        <f aca="false">COUNTA(D11:I11)+COUNTA(V11:AA11)</f>
        <v>0</v>
      </c>
      <c r="AC11" s="47" t="n">
        <f aca="false">COUNTIF(D11:I11,"희생플라이")+COUNTIF(V11:AA11,"희생플라이")</f>
        <v>0</v>
      </c>
      <c r="AD11" s="47" t="n">
        <f aca="false">COUNTIF(D11:I11,"희생번트")+COUNTIF(V11:AA11,"희생번트")</f>
        <v>0</v>
      </c>
      <c r="AE11" s="47" t="n">
        <f aca="false">AM11+2*O11+3*P11+4*Q11</f>
        <v>0</v>
      </c>
      <c r="AF11" s="48" t="str">
        <f aca="false">IF(AB11=0,"",IF(M11+R11+S11+AC11=0,"n.a.",(N11+R11+S11)/(M11+R11+S11+AC11)))</f>
        <v/>
      </c>
      <c r="AG11" s="48" t="str">
        <f aca="false">IF(AB11=0,"",IF(M11=0,"n.a.",AE11/M11))</f>
        <v/>
      </c>
      <c r="AH11" s="48" t="str">
        <f aca="false">IF(AB11=0,"",IF(AND(ISNUMBER(AF11),ISNUMBER(AG11)),AF11+AG11,"n.a."))</f>
        <v/>
      </c>
      <c r="AI11" s="47" t="n">
        <f aca="false">COUNTIF(D11:I11,"포수방해")+COUNTIF(V11:AA11,"포수방해")</f>
        <v>0</v>
      </c>
      <c r="AJ11" s="47" t="n">
        <f aca="false">COUNTIF(D11:I11,"병살")+COUNTIF(V11:AA11,"병살")</f>
        <v>0</v>
      </c>
      <c r="AK11" s="47" t="n">
        <f aca="false">COUNTIF(D11:I11,"실책출루")+COUNTIF(V11:AA11,"실책출루")</f>
        <v>0</v>
      </c>
      <c r="AL11" s="47" t="n">
        <f aca="false">COUNTIF(D11:I11,"야수선택")+COUNTIF(V11:AA11,"야수선택")</f>
        <v>0</v>
      </c>
      <c r="AM11" s="47" t="n">
        <f aca="false">COUNTIF(D11:I11,"안타")+COUNTIF(V11:AA11,"안타")</f>
        <v>0</v>
      </c>
      <c r="AN11" s="49" t="str">
        <f aca="false">IF(AB11=0,"",R11/AB11)</f>
        <v/>
      </c>
      <c r="AO11" s="49" t="str">
        <f aca="false">IF(AB11=0,"",T11/AB11)</f>
        <v/>
      </c>
    </row>
    <row r="12" customFormat="false" ht="24.75" hidden="false" customHeight="true" outlineLevel="0" collapsed="false">
      <c r="A12" s="29" t="n">
        <v>9</v>
      </c>
      <c r="B12" s="29" t="s">
        <v>159</v>
      </c>
      <c r="C12" s="30" t="s">
        <v>160</v>
      </c>
      <c r="D12" s="29" t="s">
        <v>13</v>
      </c>
      <c r="E12" s="30"/>
      <c r="F12" s="30"/>
      <c r="G12" s="30"/>
      <c r="H12" s="30"/>
      <c r="I12" s="30"/>
      <c r="J12" s="30" t="n">
        <v>0</v>
      </c>
      <c r="K12" s="30" t="n">
        <v>0</v>
      </c>
      <c r="L12" s="30" t="n">
        <v>0</v>
      </c>
      <c r="M12" s="44" t="n">
        <f aca="false">AB12-R12-S12-AC12-AD12-AI12</f>
        <v>1</v>
      </c>
      <c r="N12" s="44" t="n">
        <f aca="false">SUM(O12:Q12)+AM12</f>
        <v>1</v>
      </c>
      <c r="O12" s="44" t="n">
        <f aca="false">COUNTIF(D12:I12,"2루타")+COUNTIF(V12:AA12,"2루타")</f>
        <v>0</v>
      </c>
      <c r="P12" s="44" t="n">
        <f aca="false">COUNTIF(D12:I12,"3루타")+COUNTIF(V12:AA12,"3루타")</f>
        <v>0</v>
      </c>
      <c r="Q12" s="44" t="n">
        <f aca="false">COUNTIF(D12:I12,"홈런")+COUNTIF(V12:AA12,"홈런")</f>
        <v>0</v>
      </c>
      <c r="R12" s="44" t="n">
        <f aca="false">COUNTIF(D12:I12,"볼넷")+COUNTIF(V12:AA12,"볼넷")</f>
        <v>0</v>
      </c>
      <c r="S12" s="44" t="n">
        <f aca="false">COUNTIF(D12:I12,"사구")+COUNTIF(V12:AA12,"사구")</f>
        <v>0</v>
      </c>
      <c r="T12" s="44" t="n">
        <f aca="false">COUNTIF(D12:I12,"삼진")+COUNTIF(V12:AA12,"삼진")+COUNTIF(D12:I12,"루킹삼진")+COUNTIF(V12:AA12,"루킹삼진")+COUNTIF(D12:I12,"낫아웃출루")+COUNTIF(V12:AA12,"낫아웃출루")</f>
        <v>0</v>
      </c>
      <c r="U12" s="45" t="n">
        <f aca="false">IF(AB12=0,"",IF(M12=0,"n.a.",N12/M12))</f>
        <v>1</v>
      </c>
      <c r="V12" s="46"/>
      <c r="W12" s="46"/>
      <c r="X12" s="46"/>
      <c r="Y12" s="46"/>
      <c r="Z12" s="46"/>
      <c r="AA12" s="46"/>
      <c r="AB12" s="47" t="n">
        <f aca="false">COUNTA(D12:I12)+COUNTA(V12:AA12)</f>
        <v>1</v>
      </c>
      <c r="AC12" s="47" t="n">
        <f aca="false">COUNTIF(D12:I12,"희생플라이")+COUNTIF(V12:AA12,"희생플라이")</f>
        <v>0</v>
      </c>
      <c r="AD12" s="47" t="n">
        <f aca="false">COUNTIF(D12:I12,"희생번트")+COUNTIF(V12:AA12,"희생번트")</f>
        <v>0</v>
      </c>
      <c r="AE12" s="47" t="n">
        <f aca="false">AM12+2*O12+3*P12+4*Q12</f>
        <v>1</v>
      </c>
      <c r="AF12" s="48" t="n">
        <f aca="false">IF(AB12=0,"",IF(M12+R12+S12+AC12=0,"n.a.",(N12+R12+S12)/(M12+R12+S12+AC12)))</f>
        <v>1</v>
      </c>
      <c r="AG12" s="48" t="n">
        <f aca="false">IF(AB12=0,"",IF(M12=0,"n.a.",AE12/M12))</f>
        <v>1</v>
      </c>
      <c r="AH12" s="48" t="n">
        <f aca="false">IF(AB12=0,"",IF(AND(ISNUMBER(AF12),ISNUMBER(AG12)),AF12+AG12,"n.a."))</f>
        <v>2</v>
      </c>
      <c r="AI12" s="47" t="n">
        <f aca="false">COUNTIF(D12:I12,"포수방해")+COUNTIF(V12:AA12,"포수방해")</f>
        <v>0</v>
      </c>
      <c r="AJ12" s="47" t="n">
        <f aca="false">COUNTIF(D12:I12,"병살")+COUNTIF(V12:AA12,"병살")</f>
        <v>0</v>
      </c>
      <c r="AK12" s="47" t="n">
        <f aca="false">COUNTIF(D12:I12,"실책출루")+COUNTIF(V12:AA12,"실책출루")</f>
        <v>0</v>
      </c>
      <c r="AL12" s="47" t="n">
        <f aca="false">COUNTIF(D12:I12,"야수선택")+COUNTIF(V12:AA12,"야수선택")</f>
        <v>0</v>
      </c>
      <c r="AM12" s="47" t="n">
        <f aca="false">COUNTIF(D12:I12,"안타")+COUNTIF(V12:AA12,"안타")</f>
        <v>1</v>
      </c>
      <c r="AN12" s="49" t="n">
        <f aca="false">IF(AB12=0,"",R12/AB12)</f>
        <v>0</v>
      </c>
      <c r="AO12" s="49" t="n">
        <f aca="false">IF(AB12=0,"",T12/AB12)</f>
        <v>0</v>
      </c>
    </row>
    <row r="13" customFormat="false" ht="24.75" hidden="false" customHeight="true" outlineLevel="0" collapsed="false">
      <c r="A13" s="29"/>
      <c r="B13" s="29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44" t="n">
        <f aca="false">AB13-R13-S13-AC13-AD13-AI13</f>
        <v>0</v>
      </c>
      <c r="N13" s="44" t="n">
        <f aca="false">SUM(O13:Q13)+AM13</f>
        <v>0</v>
      </c>
      <c r="O13" s="44" t="n">
        <f aca="false">COUNTIF(D13:I13,"2루타")+COUNTIF(V13:AA13,"2루타")</f>
        <v>0</v>
      </c>
      <c r="P13" s="44" t="n">
        <f aca="false">COUNTIF(D13:I13,"3루타")+COUNTIF(V13:AA13,"3루타")</f>
        <v>0</v>
      </c>
      <c r="Q13" s="44" t="n">
        <f aca="false">COUNTIF(D13:I13,"홈런")+COUNTIF(V13:AA13,"홈런")</f>
        <v>0</v>
      </c>
      <c r="R13" s="44" t="n">
        <f aca="false">COUNTIF(D13:I13,"볼넷")+COUNTIF(V13:AA13,"볼넷")</f>
        <v>0</v>
      </c>
      <c r="S13" s="44" t="n">
        <f aca="false">COUNTIF(D13:I13,"사구")+COUNTIF(V13:AA13,"사구")</f>
        <v>0</v>
      </c>
      <c r="T13" s="44" t="n">
        <f aca="false">COUNTIF(D13:I13,"삼진")+COUNTIF(V13:AA13,"삼진")+COUNTIF(D13:I13,"루킹삼진")+COUNTIF(V13:AA13,"루킹삼진")+COUNTIF(D13:I13,"낫아웃출루")+COUNTIF(V13:AA13,"낫아웃출루")</f>
        <v>0</v>
      </c>
      <c r="U13" s="45" t="str">
        <f aca="false">IF(AB13=0,"",IF(M13=0,"n.a.",N13/M13))</f>
        <v/>
      </c>
      <c r="V13" s="46"/>
      <c r="W13" s="46"/>
      <c r="X13" s="46"/>
      <c r="Y13" s="46"/>
      <c r="Z13" s="46"/>
      <c r="AA13" s="46"/>
      <c r="AB13" s="47" t="n">
        <f aca="false">COUNTA(D13:I13)+COUNTA(V13:AA13)</f>
        <v>0</v>
      </c>
      <c r="AC13" s="47" t="n">
        <f aca="false">COUNTIF(D13:I13,"희생플라이")+COUNTIF(V13:AA13,"희생플라이")</f>
        <v>0</v>
      </c>
      <c r="AD13" s="47" t="n">
        <f aca="false">COUNTIF(D13:I13,"희생번트")+COUNTIF(V13:AA13,"희생번트")</f>
        <v>0</v>
      </c>
      <c r="AE13" s="47" t="n">
        <f aca="false">AM13+2*O13+3*P13+4*Q13</f>
        <v>0</v>
      </c>
      <c r="AF13" s="48" t="str">
        <f aca="false">IF(AB13=0,"",IF(M13+R13+S13+AC13=0,"n.a.",(N13+R13+S13)/(M13+R13+S13+AC13)))</f>
        <v/>
      </c>
      <c r="AG13" s="48" t="str">
        <f aca="false">IF(AB13=0,"",IF(M13=0,"n.a.",AE13/M13))</f>
        <v/>
      </c>
      <c r="AH13" s="48" t="str">
        <f aca="false">IF(AB13=0,"",IF(AND(ISNUMBER(AF13),ISNUMBER(AG13)),AF13+AG13,"n.a."))</f>
        <v/>
      </c>
      <c r="AI13" s="47" t="n">
        <f aca="false">COUNTIF(D13:I13,"포수방해")+COUNTIF(V13:AA13,"포수방해")</f>
        <v>0</v>
      </c>
      <c r="AJ13" s="47" t="n">
        <f aca="false">COUNTIF(D13:I13,"병살")+COUNTIF(V13:AA13,"병살")</f>
        <v>0</v>
      </c>
      <c r="AK13" s="47" t="n">
        <f aca="false">COUNTIF(D13:I13,"실책출루")+COUNTIF(V13:AA13,"실책출루")</f>
        <v>0</v>
      </c>
      <c r="AL13" s="47" t="n">
        <f aca="false">COUNTIF(D13:I13,"야수선택")+COUNTIF(V13:AA13,"야수선택")</f>
        <v>0</v>
      </c>
      <c r="AM13" s="47" t="n">
        <f aca="false">COUNTIF(D13:I13,"안타")+COUNTIF(V13:AA13,"안타")</f>
        <v>0</v>
      </c>
      <c r="AN13" s="49" t="str">
        <f aca="false">IF(AB13=0,"",R13/AB13)</f>
        <v/>
      </c>
      <c r="AO13" s="49" t="str">
        <f aca="false">IF(AB13=0,"",T13/AB13)</f>
        <v/>
      </c>
    </row>
    <row r="14" customFormat="false" ht="24.75" hidden="false" customHeight="true" outlineLevel="0" collapsed="false">
      <c r="A14" s="29"/>
      <c r="B14" s="29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44" t="n">
        <f aca="false">AB14-R14-S14-AC14-AD14-AI14</f>
        <v>0</v>
      </c>
      <c r="N14" s="44" t="n">
        <f aca="false">SUM(O14:Q14)+AM14</f>
        <v>0</v>
      </c>
      <c r="O14" s="44" t="n">
        <f aca="false">COUNTIF(D14:I14,"2루타")+COUNTIF(V14:AA14,"2루타")</f>
        <v>0</v>
      </c>
      <c r="P14" s="44" t="n">
        <f aca="false">COUNTIF(D14:I14,"3루타")+COUNTIF(V14:AA14,"3루타")</f>
        <v>0</v>
      </c>
      <c r="Q14" s="44" t="n">
        <f aca="false">COUNTIF(D14:I14,"홈런")+COUNTIF(V14:AA14,"홈런")</f>
        <v>0</v>
      </c>
      <c r="R14" s="44" t="n">
        <f aca="false">COUNTIF(D14:I14,"볼넷")+COUNTIF(V14:AA14,"볼넷")</f>
        <v>0</v>
      </c>
      <c r="S14" s="44" t="n">
        <f aca="false">COUNTIF(D14:I14,"사구")+COUNTIF(V14:AA14,"사구")</f>
        <v>0</v>
      </c>
      <c r="T14" s="44" t="n">
        <f aca="false">COUNTIF(D14:I14,"삼진")+COUNTIF(V14:AA14,"삼진")+COUNTIF(D14:I14,"루킹삼진")+COUNTIF(V14:AA14,"루킹삼진")+COUNTIF(D14:I14,"낫아웃출루")+COUNTIF(V14:AA14,"낫아웃출루")</f>
        <v>0</v>
      </c>
      <c r="U14" s="45" t="str">
        <f aca="false">IF(AB14=0,"",IF(M14=0,"n.a.",N14/M14))</f>
        <v/>
      </c>
      <c r="V14" s="46"/>
      <c r="W14" s="46"/>
      <c r="X14" s="46"/>
      <c r="Y14" s="46"/>
      <c r="Z14" s="46"/>
      <c r="AA14" s="46"/>
      <c r="AB14" s="47" t="n">
        <f aca="false">COUNTA(D14:I14)+COUNTA(V14:AA14)</f>
        <v>0</v>
      </c>
      <c r="AC14" s="47" t="n">
        <f aca="false">COUNTIF(D14:I14,"희생플라이")+COUNTIF(V14:AA14,"희생플라이")</f>
        <v>0</v>
      </c>
      <c r="AD14" s="47" t="n">
        <f aca="false">COUNTIF(D14:I14,"희생번트")+COUNTIF(V14:AA14,"희생번트")</f>
        <v>0</v>
      </c>
      <c r="AE14" s="47" t="n">
        <f aca="false">AM14+2*O14+3*P14+4*Q14</f>
        <v>0</v>
      </c>
      <c r="AF14" s="48" t="str">
        <f aca="false">IF(AB14=0,"",IF(M14+R14+S14+AC14=0,"n.a.",(N14+R14+S14)/(M14+R14+S14+AC14)))</f>
        <v/>
      </c>
      <c r="AG14" s="48" t="str">
        <f aca="false">IF(AB14=0,"",IF(M14=0,"n.a.",AE14/M14))</f>
        <v/>
      </c>
      <c r="AH14" s="48" t="str">
        <f aca="false">IF(AB14=0,"",IF(AND(ISNUMBER(AF14),ISNUMBER(AG14)),AF14+AG14,"n.a."))</f>
        <v/>
      </c>
      <c r="AI14" s="47" t="n">
        <f aca="false">COUNTIF(D14:I14,"포수방해")+COUNTIF(V14:AA14,"포수방해")</f>
        <v>0</v>
      </c>
      <c r="AJ14" s="47" t="n">
        <f aca="false">COUNTIF(D14:I14,"병살")+COUNTIF(V14:AA14,"병살")</f>
        <v>0</v>
      </c>
      <c r="AK14" s="47" t="n">
        <f aca="false">COUNTIF(D14:I14,"실책출루")+COUNTIF(V14:AA14,"실책출루")</f>
        <v>0</v>
      </c>
      <c r="AL14" s="47" t="n">
        <f aca="false">COUNTIF(D14:I14,"야수선택")+COUNTIF(V14:AA14,"야수선택")</f>
        <v>0</v>
      </c>
      <c r="AM14" s="47" t="n">
        <f aca="false">COUNTIF(D14:I14,"안타")+COUNTIF(V14:AA14,"안타")</f>
        <v>0</v>
      </c>
      <c r="AN14" s="49" t="str">
        <f aca="false">IF(AB14=0,"",R14/AB14)</f>
        <v/>
      </c>
      <c r="AO14" s="49" t="str">
        <f aca="false">IF(AB14=0,"",T14/AB14)</f>
        <v/>
      </c>
    </row>
    <row r="15" customFormat="false" ht="24.75" hidden="false" customHeight="true" outlineLevel="0" collapsed="false">
      <c r="A15" s="29"/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44" t="n">
        <f aca="false">AB15-R15-S15-AC15-AD15-AI15</f>
        <v>0</v>
      </c>
      <c r="N15" s="44" t="n">
        <f aca="false">SUM(O15:Q15)+AM15</f>
        <v>0</v>
      </c>
      <c r="O15" s="44" t="n">
        <f aca="false">COUNTIF(D15:I15,"2루타")+COUNTIF(V15:AA15,"2루타")</f>
        <v>0</v>
      </c>
      <c r="P15" s="44" t="n">
        <f aca="false">COUNTIF(D15:I15,"3루타")+COUNTIF(V15:AA15,"3루타")</f>
        <v>0</v>
      </c>
      <c r="Q15" s="44" t="n">
        <f aca="false">COUNTIF(D15:I15,"홈런")+COUNTIF(V15:AA15,"홈런")</f>
        <v>0</v>
      </c>
      <c r="R15" s="44" t="n">
        <f aca="false">COUNTIF(D15:I15,"볼넷")+COUNTIF(V15:AA15,"볼넷")</f>
        <v>0</v>
      </c>
      <c r="S15" s="44" t="n">
        <f aca="false">COUNTIF(D15:I15,"사구")+COUNTIF(V15:AA15,"사구")</f>
        <v>0</v>
      </c>
      <c r="T15" s="44" t="n">
        <f aca="false">COUNTIF(D15:I15,"삼진")+COUNTIF(V15:AA15,"삼진")+COUNTIF(D15:I15,"루킹삼진")+COUNTIF(V15:AA15,"루킹삼진")+COUNTIF(D15:I15,"낫아웃출루")+COUNTIF(V15:AA15,"낫아웃출루")</f>
        <v>0</v>
      </c>
      <c r="U15" s="45" t="str">
        <f aca="false">IF(AB15=0,"",IF(M15=0,"n.a.",N15/M15))</f>
        <v/>
      </c>
      <c r="V15" s="46"/>
      <c r="W15" s="46"/>
      <c r="X15" s="46"/>
      <c r="Y15" s="46"/>
      <c r="Z15" s="46"/>
      <c r="AA15" s="46"/>
      <c r="AB15" s="47" t="n">
        <f aca="false">COUNTA(D15:I15)+COUNTA(V15:AA15)</f>
        <v>0</v>
      </c>
      <c r="AC15" s="47" t="n">
        <f aca="false">COUNTIF(D15:I15,"희생플라이")+COUNTIF(V15:AA15,"희생플라이")</f>
        <v>0</v>
      </c>
      <c r="AD15" s="47" t="n">
        <f aca="false">COUNTIF(D15:I15,"희생번트")+COUNTIF(V15:AA15,"희생번트")</f>
        <v>0</v>
      </c>
      <c r="AE15" s="47" t="n">
        <f aca="false">AM15+2*O15+3*P15+4*Q15</f>
        <v>0</v>
      </c>
      <c r="AF15" s="48" t="str">
        <f aca="false">IF(AB15=0,"",IF(M15+R15+S15+AC15=0,"n.a.",(N15+R15+S15)/(M15+R15+S15+AC15)))</f>
        <v/>
      </c>
      <c r="AG15" s="48" t="str">
        <f aca="false">IF(AB15=0,"",IF(M15=0,"n.a.",AE15/M15))</f>
        <v/>
      </c>
      <c r="AH15" s="48" t="str">
        <f aca="false">IF(AB15=0,"",IF(AND(ISNUMBER(AF15),ISNUMBER(AG15)),AF15+AG15,"n.a."))</f>
        <v/>
      </c>
      <c r="AI15" s="47" t="n">
        <f aca="false">COUNTIF(D15:I15,"포수방해")+COUNTIF(V15:AA15,"포수방해")</f>
        <v>0</v>
      </c>
      <c r="AJ15" s="47" t="n">
        <f aca="false">COUNTIF(D15:I15,"병살")+COUNTIF(V15:AA15,"병살")</f>
        <v>0</v>
      </c>
      <c r="AK15" s="47" t="n">
        <f aca="false">COUNTIF(D15:I15,"실책출루")+COUNTIF(V15:AA15,"실책출루")</f>
        <v>0</v>
      </c>
      <c r="AL15" s="47" t="n">
        <f aca="false">COUNTIF(D15:I15,"야수선택")+COUNTIF(V15:AA15,"야수선택")</f>
        <v>0</v>
      </c>
      <c r="AM15" s="47" t="n">
        <f aca="false">COUNTIF(D15:I15,"안타")+COUNTIF(V15:AA15,"안타")</f>
        <v>0</v>
      </c>
      <c r="AN15" s="49" t="str">
        <f aca="false">IF(AB15=0,"",R15/AB15)</f>
        <v/>
      </c>
      <c r="AO15" s="49" t="str">
        <f aca="false">IF(AB15=0,"",T15/AB15)</f>
        <v/>
      </c>
    </row>
    <row r="16" customFormat="false" ht="24.75" hidden="false" customHeight="true" outlineLevel="0" collapsed="false">
      <c r="A16" s="29"/>
      <c r="B16" s="29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44" t="n">
        <f aca="false">AB16-R16-S16-AC16-AD16-AI16</f>
        <v>0</v>
      </c>
      <c r="N16" s="44" t="n">
        <f aca="false">SUM(O16:Q16)+AM16</f>
        <v>0</v>
      </c>
      <c r="O16" s="44" t="n">
        <f aca="false">COUNTIF(D16:I16,"2루타")+COUNTIF(V16:AA16,"2루타")</f>
        <v>0</v>
      </c>
      <c r="P16" s="44" t="n">
        <f aca="false">COUNTIF(D16:I16,"3루타")+COUNTIF(V16:AA16,"3루타")</f>
        <v>0</v>
      </c>
      <c r="Q16" s="44" t="n">
        <f aca="false">COUNTIF(D16:I16,"홈런")+COUNTIF(V16:AA16,"홈런")</f>
        <v>0</v>
      </c>
      <c r="R16" s="44" t="n">
        <f aca="false">COUNTIF(D16:I16,"볼넷")+COUNTIF(V16:AA16,"볼넷")</f>
        <v>0</v>
      </c>
      <c r="S16" s="44" t="n">
        <f aca="false">COUNTIF(D16:I16,"사구")+COUNTIF(V16:AA16,"사구")</f>
        <v>0</v>
      </c>
      <c r="T16" s="44" t="n">
        <f aca="false">COUNTIF(D16:I16,"삼진")+COUNTIF(V16:AA16,"삼진")+COUNTIF(D16:I16,"루킹삼진")+COUNTIF(V16:AA16,"루킹삼진")+COUNTIF(D16:I16,"낫아웃출루")+COUNTIF(V16:AA16,"낫아웃출루")</f>
        <v>0</v>
      </c>
      <c r="U16" s="45" t="str">
        <f aca="false">IF(AB16=0,"",IF(M16=0,"n.a.",N16/M16))</f>
        <v/>
      </c>
      <c r="V16" s="46"/>
      <c r="W16" s="46"/>
      <c r="X16" s="46"/>
      <c r="Y16" s="46"/>
      <c r="Z16" s="46"/>
      <c r="AA16" s="46"/>
      <c r="AB16" s="47" t="n">
        <f aca="false">COUNTA(D16:I16)+COUNTA(V16:AA16)</f>
        <v>0</v>
      </c>
      <c r="AC16" s="47" t="n">
        <f aca="false">COUNTIF(D16:I16,"희생플라이")+COUNTIF(V16:AA16,"희생플라이")</f>
        <v>0</v>
      </c>
      <c r="AD16" s="47" t="n">
        <f aca="false">COUNTIF(D16:I16,"희생번트")+COUNTIF(V16:AA16,"희생번트")</f>
        <v>0</v>
      </c>
      <c r="AE16" s="47" t="n">
        <f aca="false">AM16+2*O16+3*P16+4*Q16</f>
        <v>0</v>
      </c>
      <c r="AF16" s="48" t="str">
        <f aca="false">IF(AB16=0,"",IF(M16+R16+S16+AC16=0,"n.a.",(N16+R16+S16)/(M16+R16+S16+AC16)))</f>
        <v/>
      </c>
      <c r="AG16" s="48" t="str">
        <f aca="false">IF(AB16=0,"",IF(M16=0,"n.a.",AE16/M16))</f>
        <v/>
      </c>
      <c r="AH16" s="48" t="str">
        <f aca="false">IF(AB16=0,"",IF(AND(ISNUMBER(AF16),ISNUMBER(AG16)),AF16+AG16,"n.a."))</f>
        <v/>
      </c>
      <c r="AI16" s="47" t="n">
        <f aca="false">COUNTIF(D16:I16,"포수방해")+COUNTIF(V16:AA16,"포수방해")</f>
        <v>0</v>
      </c>
      <c r="AJ16" s="47" t="n">
        <f aca="false">COUNTIF(D16:I16,"병살")+COUNTIF(V16:AA16,"병살")</f>
        <v>0</v>
      </c>
      <c r="AK16" s="47" t="n">
        <f aca="false">COUNTIF(D16:I16,"실책출루")+COUNTIF(V16:AA16,"실책출루")</f>
        <v>0</v>
      </c>
      <c r="AL16" s="47" t="n">
        <f aca="false">COUNTIF(D16:I16,"야수선택")+COUNTIF(V16:AA16,"야수선택")</f>
        <v>0</v>
      </c>
      <c r="AM16" s="47" t="n">
        <f aca="false">COUNTIF(D16:I16,"안타")+COUNTIF(V16:AA16,"안타")</f>
        <v>0</v>
      </c>
      <c r="AN16" s="49" t="str">
        <f aca="false">IF(AB16=0,"",R16/AB16)</f>
        <v/>
      </c>
      <c r="AO16" s="49" t="str">
        <f aca="false">IF(AB16=0,"",T16/AB16)</f>
        <v/>
      </c>
    </row>
    <row r="17" customFormat="false" ht="24.75" hidden="false" customHeight="true" outlineLevel="0" collapsed="false">
      <c r="A17" s="50"/>
      <c r="B17" s="51" t="s">
        <v>161</v>
      </c>
      <c r="C17" s="50"/>
      <c r="D17" s="50"/>
      <c r="E17" s="50"/>
      <c r="F17" s="50"/>
      <c r="G17" s="50"/>
      <c r="H17" s="50"/>
      <c r="I17" s="50"/>
      <c r="J17" s="52" t="n">
        <f aca="false">SUM(J2:J16)</f>
        <v>4</v>
      </c>
      <c r="K17" s="52" t="n">
        <f aca="false">SUM(K2:K16)</f>
        <v>4</v>
      </c>
      <c r="L17" s="52" t="n">
        <f aca="false">SUM(L2:L16)</f>
        <v>2</v>
      </c>
      <c r="M17" s="52" t="n">
        <f aca="false">SUM(M2:M16)</f>
        <v>25</v>
      </c>
      <c r="N17" s="52" t="n">
        <f aca="false">SUM(N2:N16)</f>
        <v>10</v>
      </c>
      <c r="O17" s="52" t="n">
        <f aca="false">SUM(O2:O16)</f>
        <v>2</v>
      </c>
      <c r="P17" s="52" t="n">
        <f aca="false">SUM(P2:P16)</f>
        <v>1</v>
      </c>
      <c r="Q17" s="52" t="n">
        <f aca="false">SUM(Q2:Q16)</f>
        <v>1</v>
      </c>
      <c r="R17" s="52" t="n">
        <f aca="false">SUM(R2:R16)</f>
        <v>3</v>
      </c>
      <c r="S17" s="52" t="n">
        <f aca="false">SUM(S2:S16)</f>
        <v>1</v>
      </c>
      <c r="T17" s="52" t="n">
        <f aca="false">SUM(T2:T16)</f>
        <v>5</v>
      </c>
      <c r="U17" s="53" t="n">
        <f aca="false">IF(AB17=0,"",IF(M17=0,"n.a.",N17/M17))</f>
        <v>0.4</v>
      </c>
      <c r="V17" s="54"/>
      <c r="W17" s="54"/>
      <c r="X17" s="54"/>
      <c r="Y17" s="54"/>
      <c r="Z17" s="54"/>
      <c r="AA17" s="54"/>
      <c r="AB17" s="55" t="n">
        <f aca="false">SUM(AB2:AB16)</f>
        <v>32</v>
      </c>
      <c r="AC17" s="55" t="n">
        <f aca="false">SUM(AC2:AC16)</f>
        <v>1</v>
      </c>
      <c r="AD17" s="55" t="n">
        <f aca="false">SUM(AD2:AD16)</f>
        <v>1</v>
      </c>
      <c r="AE17" s="55" t="n">
        <f aca="false">SUM(AE2:AE16)</f>
        <v>17</v>
      </c>
      <c r="AF17" s="56" t="n">
        <f aca="false">IF(AB17=0,"",IF(M17+R17+S17+AC17=0,"n.a.",(N17+R17+S17)/(M17+R17+S17+AC17)))</f>
        <v>0.466666666666667</v>
      </c>
      <c r="AG17" s="56" t="n">
        <f aca="false">IF(AB17=0,"",IF(M17=0,"n.a.",AE17/M17))</f>
        <v>0.68</v>
      </c>
      <c r="AH17" s="56" t="n">
        <f aca="false">IF(AB17=0,"",IF(AND(ISNUMBER(AF17),ISNUMBER(AG17)),AF17+AG17,"n.a."))</f>
        <v>1.14666666666667</v>
      </c>
      <c r="AI17" s="55" t="n">
        <f aca="false">SUM(AI2:AI16)</f>
        <v>1</v>
      </c>
      <c r="AJ17" s="55" t="n">
        <f aca="false">SUM(AJ2:AJ16)</f>
        <v>1</v>
      </c>
      <c r="AK17" s="55" t="n">
        <f aca="false">SUM(AK2:AK16)</f>
        <v>1</v>
      </c>
      <c r="AL17" s="55" t="n">
        <f aca="false">SUM(AL2:AL16)</f>
        <v>1</v>
      </c>
      <c r="AM17" s="55" t="n">
        <f aca="false">SUM(AM2:AM16)</f>
        <v>6</v>
      </c>
      <c r="AN17" s="57" t="n">
        <f aca="false">IF(AB17=0,"",IF(AB17=0,"n.a.",R17/AB17))</f>
        <v>0.09375</v>
      </c>
      <c r="AO17" s="57" t="n">
        <f aca="false">IF(AB17=0,"",IF(AB17=0,"n.a.",T17/AB17))</f>
        <v>0.15625</v>
      </c>
    </row>
    <row r="19" customFormat="false" ht="17.15" hidden="false" customHeight="false" outlineLevel="0" collapsed="false">
      <c r="A19" s="24" t="s">
        <v>162</v>
      </c>
    </row>
    <row r="20" customFormat="false" ht="17.15" hidden="false" customHeight="false" outlineLevel="0" collapsed="false">
      <c r="A20" s="24" t="s">
        <v>163</v>
      </c>
    </row>
    <row r="21" customFormat="false" ht="15.75" hidden="false" customHeight="true" outlineLevel="0" collapsed="false">
      <c r="A21" s="24" t="s">
        <v>164</v>
      </c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4">
    <dataValidation allowBlank="true" errorStyle="stop" operator="between" showDropDown="false" showErrorMessage="false" showInputMessage="false" sqref="C2:C16" type="list">
      <formula1>"P,C,1B,2B,3B,SS,LF,CF,RF,DH,PH,PR"</formula1>
      <formula2>0</formula2>
    </dataValidation>
    <dataValidation allowBlank="true" errorStyle="stop" operator="between" showDropDown="false" showErrorMessage="false" showInputMessage="false" sqref="J2:L16" type="decimal">
      <formula1>0</formula1>
      <formula2>99</formula2>
    </dataValidation>
    <dataValidation allowBlank="true" errorStyle="stop" operator="between" prompt="타석 결과 - 안타 2루타 3루타 홈런 삼진 루킹삼진 땅볼 뜬공 직선타 병살 실책출루 야수선택 볼넷 사구 희생플라이 희생번트 중 하나" showDropDown="false" showErrorMessage="true" showInputMessage="true" sqref="D2:I16" type="list">
      <formula1>"안타,2루타,3루타,홈런,삼진,루킹삼진,땅볼,뜬공,직선타,병살,실책출루,야수선택,볼넷,사구,희생플라이,희생번트,낫아웃출루,포수방해"</formula1>
      <formula2>0</formula2>
    </dataValidation>
    <dataValidation allowBlank="true" errorStyle="stop" operator="between" showDropDown="false" showErrorMessage="false" showInputMessage="false" sqref="V2:AA16" type="list">
      <formula1>"안타,2루타,3루타,홈런,삼진,루킹삼진,땅볼,뜬공,직선타,병살,실책출루,야수선택,볼넷,사구,희생플라이,희생번트,낫아웃출루,포수방해"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243B"/>
    <pageSetUpPr fitToPage="false"/>
  </sheetPr>
  <dimension ref="A1:S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18" min="2" style="0" width="12"/>
    <col collapsed="false" customWidth="true" hidden="false" outlineLevel="0" max="19" min="19" style="0" width="18"/>
    <col collapsed="false" customWidth="true" hidden="false" outlineLevel="0" max="26" min="20" style="0" width="8.71"/>
  </cols>
  <sheetData>
    <row r="1" customFormat="false" ht="30" hidden="false" customHeight="true" outlineLevel="0" collapsed="false">
      <c r="A1" s="41" t="s">
        <v>53</v>
      </c>
      <c r="B1" s="41" t="s">
        <v>165</v>
      </c>
      <c r="C1" s="41" t="s">
        <v>166</v>
      </c>
      <c r="D1" s="41" t="s">
        <v>167</v>
      </c>
      <c r="E1" s="41" t="s">
        <v>168</v>
      </c>
      <c r="F1" s="41" t="s">
        <v>169</v>
      </c>
      <c r="G1" s="41" t="s">
        <v>170</v>
      </c>
      <c r="H1" s="41" t="s">
        <v>171</v>
      </c>
      <c r="I1" s="41" t="s">
        <v>45</v>
      </c>
      <c r="J1" s="41" t="s">
        <v>47</v>
      </c>
      <c r="K1" s="41" t="s">
        <v>25</v>
      </c>
      <c r="L1" s="41" t="s">
        <v>172</v>
      </c>
      <c r="M1" s="42" t="s">
        <v>173</v>
      </c>
      <c r="N1" s="43" t="s">
        <v>174</v>
      </c>
      <c r="O1" s="43" t="s">
        <v>175</v>
      </c>
      <c r="P1" s="43" t="s">
        <v>176</v>
      </c>
      <c r="Q1" s="43" t="s">
        <v>177</v>
      </c>
      <c r="R1" s="23" t="s">
        <v>178</v>
      </c>
      <c r="S1" s="23" t="s">
        <v>179</v>
      </c>
    </row>
    <row r="2" customFormat="false" ht="25.5" hidden="false" customHeight="true" outlineLevel="0" collapsed="false">
      <c r="A2" s="29" t="s">
        <v>180</v>
      </c>
      <c r="B2" s="29" t="s">
        <v>181</v>
      </c>
      <c r="C2" s="30" t="n">
        <v>12</v>
      </c>
      <c r="D2" s="58" t="n">
        <f aca="false">IF(A2="","",IF(NOT(ISNUMBER(C2)),"",C2/3))</f>
        <v>4</v>
      </c>
      <c r="E2" s="30" t="n">
        <v>60</v>
      </c>
      <c r="F2" s="30" t="n">
        <v>3</v>
      </c>
      <c r="G2" s="30" t="n">
        <v>2</v>
      </c>
      <c r="H2" s="30" t="n">
        <v>1</v>
      </c>
      <c r="I2" s="30" t="n">
        <v>2</v>
      </c>
      <c r="J2" s="30" t="n">
        <v>1</v>
      </c>
      <c r="K2" s="30" t="n">
        <v>5</v>
      </c>
      <c r="L2" s="30" t="n">
        <v>1</v>
      </c>
      <c r="M2" s="59" t="n">
        <f aca="false">IF(A2="","",IF(OR(NOT(ISNUMBER(C2)),NOT(ISNUMBER(H2))),"",IF(C2=0,"n.a.",H2*3*'경기 정보'!$C$20/C2)))</f>
        <v>1.25</v>
      </c>
      <c r="N2" s="60" t="n">
        <f aca="false">IF(A2="","",IF(OR(NOT(ISNUMBER(C2)),NOT(ISNUMBER(F2)),NOT(ISNUMBER(I2))),"",IF(C2=0,"n.a.",(F2+I2)*3/C2)))</f>
        <v>1.25</v>
      </c>
      <c r="O2" s="60" t="n">
        <f aca="false">IF(A2="","",IF(OR(NOT(ISNUMBER(I2)),NOT(ISNUMBER(K2))),"",IF(I2=0,"n.a.",K2/I2)))</f>
        <v>2.5</v>
      </c>
      <c r="P2" s="60" t="n">
        <f aca="false">IF(A2="","",IF(OR(NOT(ISNUMBER(C2)),NOT(ISNUMBER(K2))),"",IF(C2=0,"n.a.",K2*27/C2)))</f>
        <v>11.25</v>
      </c>
      <c r="Q2" s="60" t="n">
        <f aca="false">IF(A2="","",IF(OR(NOT(ISNUMBER(C2)),NOT(ISNUMBER(I2))),"",IF(C2=0,"n.a.",I2*27/C2)))</f>
        <v>4.5</v>
      </c>
      <c r="R2" s="47" t="str">
        <f aca="false">IF(A2="","",IF(NOT(ISNUMBER(C2)),"",INT(C2/3)&amp;"."&amp;MOD(C2,3)))</f>
        <v>4.0</v>
      </c>
      <c r="S2" s="38" t="str">
        <f aca="false">IF(A2="","",IF(COUNT(C2,E2:L2)=9,"입력 완료","숫자 입력 대기"))</f>
        <v>입력 완료</v>
      </c>
    </row>
    <row r="3" customFormat="false" ht="25.5" hidden="false" customHeight="true" outlineLevel="0" collapsed="false">
      <c r="A3" s="29" t="s">
        <v>182</v>
      </c>
      <c r="B3" s="29" t="s">
        <v>183</v>
      </c>
      <c r="C3" s="30" t="n">
        <v>6</v>
      </c>
      <c r="D3" s="58" t="n">
        <f aca="false">IF(A3="","",IF(NOT(ISNUMBER(C3)),"",C3/3))</f>
        <v>2</v>
      </c>
      <c r="E3" s="30" t="n">
        <v>25</v>
      </c>
      <c r="F3" s="30" t="n">
        <v>1</v>
      </c>
      <c r="G3" s="30" t="n">
        <v>0</v>
      </c>
      <c r="H3" s="30" t="n">
        <v>0</v>
      </c>
      <c r="I3" s="30" t="n">
        <v>1</v>
      </c>
      <c r="J3" s="30" t="n">
        <v>0</v>
      </c>
      <c r="K3" s="30" t="n">
        <v>3</v>
      </c>
      <c r="L3" s="30" t="n">
        <v>0</v>
      </c>
      <c r="M3" s="59" t="n">
        <f aca="false">IF(A3="","",IF(OR(NOT(ISNUMBER(C3)),NOT(ISNUMBER(H3))),"",IF(C3=0,"n.a.",H3*3*'경기 정보'!$C$20/C3)))</f>
        <v>0</v>
      </c>
      <c r="N3" s="60" t="n">
        <f aca="false">IF(A3="","",IF(OR(NOT(ISNUMBER(C3)),NOT(ISNUMBER(F3)),NOT(ISNUMBER(I3))),"",IF(C3=0,"n.a.",(F3+I3)*3/C3)))</f>
        <v>1</v>
      </c>
      <c r="O3" s="60" t="n">
        <f aca="false">IF(A3="","",IF(OR(NOT(ISNUMBER(I3)),NOT(ISNUMBER(K3))),"",IF(I3=0,"n.a.",K3/I3)))</f>
        <v>3</v>
      </c>
      <c r="P3" s="60" t="n">
        <f aca="false">IF(A3="","",IF(OR(NOT(ISNUMBER(C3)),NOT(ISNUMBER(K3))),"",IF(C3=0,"n.a.",K3*27/C3)))</f>
        <v>13.5</v>
      </c>
      <c r="Q3" s="60" t="n">
        <f aca="false">IF(A3="","",IF(OR(NOT(ISNUMBER(C3)),NOT(ISNUMBER(I3))),"",IF(C3=0,"n.a.",I3*27/C3)))</f>
        <v>4.5</v>
      </c>
      <c r="R3" s="47" t="str">
        <f aca="false">IF(A3="","",IF(NOT(ISNUMBER(C3)),"",INT(C3/3)&amp;"."&amp;MOD(C3,3)))</f>
        <v>2.0</v>
      </c>
      <c r="S3" s="38" t="str">
        <f aca="false">IF(A3="","",IF(COUNT(C3,E3:L3)=9,"입력 완료","숫자 입력 대기"))</f>
        <v>입력 완료</v>
      </c>
    </row>
    <row r="4" customFormat="false" ht="25.5" hidden="false" customHeight="true" outlineLevel="0" collapsed="false">
      <c r="A4" s="29" t="s">
        <v>184</v>
      </c>
      <c r="B4" s="29" t="s">
        <v>185</v>
      </c>
      <c r="C4" s="30" t="n">
        <v>3</v>
      </c>
      <c r="D4" s="58" t="n">
        <f aca="false">IF(A4="","",IF(NOT(ISNUMBER(C4)),"",C4/3))</f>
        <v>1</v>
      </c>
      <c r="E4" s="30" t="n">
        <v>12</v>
      </c>
      <c r="F4" s="30" t="n">
        <v>0</v>
      </c>
      <c r="G4" s="30" t="n">
        <v>0</v>
      </c>
      <c r="H4" s="30" t="n">
        <v>0</v>
      </c>
      <c r="I4" s="30" t="n">
        <v>0</v>
      </c>
      <c r="J4" s="30" t="n">
        <v>0</v>
      </c>
      <c r="K4" s="30" t="n">
        <v>2</v>
      </c>
      <c r="L4" s="30" t="n">
        <v>0</v>
      </c>
      <c r="M4" s="59" t="n">
        <f aca="false">IF(A4="","",IF(OR(NOT(ISNUMBER(C4)),NOT(ISNUMBER(H4))),"",IF(C4=0,"n.a.",H4*3*'경기 정보'!$C$20/C4)))</f>
        <v>0</v>
      </c>
      <c r="N4" s="60" t="n">
        <f aca="false">IF(A4="","",IF(OR(NOT(ISNUMBER(C4)),NOT(ISNUMBER(F4)),NOT(ISNUMBER(I4))),"",IF(C4=0,"n.a.",(F4+I4)*3/C4)))</f>
        <v>0</v>
      </c>
      <c r="O4" s="60" t="str">
        <f aca="false">IF(A4="","",IF(OR(NOT(ISNUMBER(I4)),NOT(ISNUMBER(K4))),"",IF(I4=0,"n.a.",K4/I4)))</f>
        <v>n.a.</v>
      </c>
      <c r="P4" s="60" t="n">
        <f aca="false">IF(A4="","",IF(OR(NOT(ISNUMBER(C4)),NOT(ISNUMBER(K4))),"",IF(C4=0,"n.a.",K4*27/C4)))</f>
        <v>18</v>
      </c>
      <c r="Q4" s="60" t="n">
        <f aca="false">IF(A4="","",IF(OR(NOT(ISNUMBER(C4)),NOT(ISNUMBER(I4))),"",IF(C4=0,"n.a.",I4*27/C4)))</f>
        <v>0</v>
      </c>
      <c r="R4" s="47" t="str">
        <f aca="false">IF(A4="","",IF(NOT(ISNUMBER(C4)),"",INT(C4/3)&amp;"."&amp;MOD(C4,3)))</f>
        <v>1.0</v>
      </c>
      <c r="S4" s="38" t="str">
        <f aca="false">IF(A4="","",IF(COUNT(C4,E4:L4)=9,"입력 완료","숫자 입력 대기"))</f>
        <v>입력 완료</v>
      </c>
    </row>
    <row r="5" customFormat="false" ht="25.5" hidden="false" customHeight="true" outlineLevel="0" collapsed="false">
      <c r="A5" s="29"/>
      <c r="B5" s="29"/>
      <c r="C5" s="30"/>
      <c r="D5" s="58" t="str">
        <f aca="false">IF(A5="","",IF(NOT(ISNUMBER(C5)),"",C5/3))</f>
        <v/>
      </c>
      <c r="E5" s="30"/>
      <c r="F5" s="30"/>
      <c r="G5" s="30"/>
      <c r="H5" s="30"/>
      <c r="I5" s="30"/>
      <c r="J5" s="30"/>
      <c r="K5" s="30"/>
      <c r="L5" s="30"/>
      <c r="M5" s="59" t="str">
        <f aca="false">IF(A5="","",IF(OR(NOT(ISNUMBER(C5)),NOT(ISNUMBER(H5))),"",IF(C5=0,"n.a.",H5*3*'경기 정보'!$C$20/C5)))</f>
        <v/>
      </c>
      <c r="N5" s="60" t="str">
        <f aca="false">IF(A5="","",IF(OR(NOT(ISNUMBER(C5)),NOT(ISNUMBER(F5)),NOT(ISNUMBER(I5))),"",IF(C5=0,"n.a.",(F5+I5)*3/C5)))</f>
        <v/>
      </c>
      <c r="O5" s="60" t="str">
        <f aca="false">IF(A5="","",IF(OR(NOT(ISNUMBER(I5)),NOT(ISNUMBER(K5))),"",IF(I5=0,"n.a.",K5/I5)))</f>
        <v/>
      </c>
      <c r="P5" s="60" t="str">
        <f aca="false">IF(A5="","",IF(OR(NOT(ISNUMBER(C5)),NOT(ISNUMBER(K5))),"",IF(C5=0,"n.a.",K5*27/C5)))</f>
        <v/>
      </c>
      <c r="Q5" s="60" t="str">
        <f aca="false">IF(A5="","",IF(OR(NOT(ISNUMBER(C5)),NOT(ISNUMBER(I5))),"",IF(C5=0,"n.a.",I5*27/C5)))</f>
        <v/>
      </c>
      <c r="R5" s="47" t="str">
        <f aca="false">IF(A5="","",IF(NOT(ISNUMBER(C5)),"",INT(C5/3)&amp;"."&amp;MOD(C5,3)))</f>
        <v/>
      </c>
      <c r="S5" s="38" t="str">
        <f aca="false">IF(A5="","",IF(COUNT(C5,E5:L5)=9,"입력 완료","숫자 입력 대기"))</f>
        <v/>
      </c>
    </row>
    <row r="6" customFormat="false" ht="25.5" hidden="false" customHeight="true" outlineLevel="0" collapsed="false">
      <c r="A6" s="29"/>
      <c r="B6" s="29"/>
      <c r="C6" s="30"/>
      <c r="D6" s="58" t="str">
        <f aca="false">IF(A6="","",IF(NOT(ISNUMBER(C6)),"",C6/3))</f>
        <v/>
      </c>
      <c r="E6" s="30"/>
      <c r="F6" s="30"/>
      <c r="G6" s="30"/>
      <c r="H6" s="30"/>
      <c r="I6" s="30"/>
      <c r="J6" s="30"/>
      <c r="K6" s="30"/>
      <c r="L6" s="30"/>
      <c r="M6" s="59" t="str">
        <f aca="false">IF(A6="","",IF(OR(NOT(ISNUMBER(C6)),NOT(ISNUMBER(H6))),"",IF(C6=0,"n.a.",H6*3*'경기 정보'!$C$20/C6)))</f>
        <v/>
      </c>
      <c r="N6" s="60" t="str">
        <f aca="false">IF(A6="","",IF(OR(NOT(ISNUMBER(C6)),NOT(ISNUMBER(F6)),NOT(ISNUMBER(I6))),"",IF(C6=0,"n.a.",(F6+I6)*3/C6)))</f>
        <v/>
      </c>
      <c r="O6" s="60" t="str">
        <f aca="false">IF(A6="","",IF(OR(NOT(ISNUMBER(I6)),NOT(ISNUMBER(K6))),"",IF(I6=0,"n.a.",K6/I6)))</f>
        <v/>
      </c>
      <c r="P6" s="60" t="str">
        <f aca="false">IF(A6="","",IF(OR(NOT(ISNUMBER(C6)),NOT(ISNUMBER(K6))),"",IF(C6=0,"n.a.",K6*27/C6)))</f>
        <v/>
      </c>
      <c r="Q6" s="60" t="str">
        <f aca="false">IF(A6="","",IF(OR(NOT(ISNUMBER(C6)),NOT(ISNUMBER(I6))),"",IF(C6=0,"n.a.",I6*27/C6)))</f>
        <v/>
      </c>
      <c r="R6" s="47" t="str">
        <f aca="false">IF(A6="","",IF(NOT(ISNUMBER(C6)),"",INT(C6/3)&amp;"."&amp;MOD(C6,3)))</f>
        <v/>
      </c>
      <c r="S6" s="38" t="str">
        <f aca="false">IF(A6="","",IF(COUNT(C6,E6:L6)=9,"입력 완료","숫자 입력 대기"))</f>
        <v/>
      </c>
    </row>
    <row r="7" customFormat="false" ht="25.5" hidden="false" customHeight="true" outlineLevel="0" collapsed="false">
      <c r="A7" s="29"/>
      <c r="B7" s="29"/>
      <c r="C7" s="30"/>
      <c r="D7" s="58" t="str">
        <f aca="false">IF(A7="","",IF(NOT(ISNUMBER(C7)),"",C7/3))</f>
        <v/>
      </c>
      <c r="E7" s="30"/>
      <c r="F7" s="30"/>
      <c r="G7" s="30"/>
      <c r="H7" s="30"/>
      <c r="I7" s="30"/>
      <c r="J7" s="30"/>
      <c r="K7" s="30"/>
      <c r="L7" s="30"/>
      <c r="M7" s="59" t="str">
        <f aca="false">IF(A7="","",IF(OR(NOT(ISNUMBER(C7)),NOT(ISNUMBER(H7))),"",IF(C7=0,"n.a.",H7*3*'경기 정보'!$C$20/C7)))</f>
        <v/>
      </c>
      <c r="N7" s="60" t="str">
        <f aca="false">IF(A7="","",IF(OR(NOT(ISNUMBER(C7)),NOT(ISNUMBER(F7)),NOT(ISNUMBER(I7))),"",IF(C7=0,"n.a.",(F7+I7)*3/C7)))</f>
        <v/>
      </c>
      <c r="O7" s="60" t="str">
        <f aca="false">IF(A7="","",IF(OR(NOT(ISNUMBER(I7)),NOT(ISNUMBER(K7))),"",IF(I7=0,"n.a.",K7/I7)))</f>
        <v/>
      </c>
      <c r="P7" s="60" t="str">
        <f aca="false">IF(A7="","",IF(OR(NOT(ISNUMBER(C7)),NOT(ISNUMBER(K7))),"",IF(C7=0,"n.a.",K7*27/C7)))</f>
        <v/>
      </c>
      <c r="Q7" s="60" t="str">
        <f aca="false">IF(A7="","",IF(OR(NOT(ISNUMBER(C7)),NOT(ISNUMBER(I7))),"",IF(C7=0,"n.a.",I7*27/C7)))</f>
        <v/>
      </c>
      <c r="R7" s="47" t="str">
        <f aca="false">IF(A7="","",IF(NOT(ISNUMBER(C7)),"",INT(C7/3)&amp;"."&amp;MOD(C7,3)))</f>
        <v/>
      </c>
      <c r="S7" s="38" t="str">
        <f aca="false">IF(A7="","",IF(COUNT(C7,E7:L7)=9,"입력 완료","숫자 입력 대기"))</f>
        <v/>
      </c>
    </row>
    <row r="8" customFormat="false" ht="25.5" hidden="false" customHeight="true" outlineLevel="0" collapsed="false">
      <c r="A8" s="29"/>
      <c r="B8" s="29"/>
      <c r="C8" s="30"/>
      <c r="D8" s="58" t="str">
        <f aca="false">IF(A8="","",IF(NOT(ISNUMBER(C8)),"",C8/3))</f>
        <v/>
      </c>
      <c r="E8" s="30"/>
      <c r="F8" s="30"/>
      <c r="G8" s="30"/>
      <c r="H8" s="30"/>
      <c r="I8" s="30"/>
      <c r="J8" s="30"/>
      <c r="K8" s="30"/>
      <c r="L8" s="30"/>
      <c r="M8" s="59" t="str">
        <f aca="false">IF(A8="","",IF(OR(NOT(ISNUMBER(C8)),NOT(ISNUMBER(H8))),"",IF(C8=0,"n.a.",H8*3*'경기 정보'!$C$20/C8)))</f>
        <v/>
      </c>
      <c r="N8" s="60" t="str">
        <f aca="false">IF(A8="","",IF(OR(NOT(ISNUMBER(C8)),NOT(ISNUMBER(F8)),NOT(ISNUMBER(I8))),"",IF(C8=0,"n.a.",(F8+I8)*3/C8)))</f>
        <v/>
      </c>
      <c r="O8" s="60" t="str">
        <f aca="false">IF(A8="","",IF(OR(NOT(ISNUMBER(I8)),NOT(ISNUMBER(K8))),"",IF(I8=0,"n.a.",K8/I8)))</f>
        <v/>
      </c>
      <c r="P8" s="60" t="str">
        <f aca="false">IF(A8="","",IF(OR(NOT(ISNUMBER(C8)),NOT(ISNUMBER(K8))),"",IF(C8=0,"n.a.",K8*27/C8)))</f>
        <v/>
      </c>
      <c r="Q8" s="60" t="str">
        <f aca="false">IF(A8="","",IF(OR(NOT(ISNUMBER(C8)),NOT(ISNUMBER(I8))),"",IF(C8=0,"n.a.",I8*27/C8)))</f>
        <v/>
      </c>
      <c r="R8" s="47" t="str">
        <f aca="false">IF(A8="","",IF(NOT(ISNUMBER(C8)),"",INT(C8/3)&amp;"."&amp;MOD(C8,3)))</f>
        <v/>
      </c>
      <c r="S8" s="38" t="str">
        <f aca="false">IF(A8="","",IF(COUNT(C8,E8:L8)=9,"입력 완료","숫자 입력 대기"))</f>
        <v/>
      </c>
    </row>
    <row r="9" customFormat="false" ht="25.5" hidden="false" customHeight="true" outlineLevel="0" collapsed="false">
      <c r="A9" s="29"/>
      <c r="B9" s="29"/>
      <c r="C9" s="30"/>
      <c r="D9" s="58" t="str">
        <f aca="false">IF(A9="","",IF(NOT(ISNUMBER(C9)),"",C9/3))</f>
        <v/>
      </c>
      <c r="E9" s="30"/>
      <c r="F9" s="30"/>
      <c r="G9" s="30"/>
      <c r="H9" s="30"/>
      <c r="I9" s="30"/>
      <c r="J9" s="30"/>
      <c r="K9" s="30"/>
      <c r="L9" s="30"/>
      <c r="M9" s="59" t="str">
        <f aca="false">IF(A9="","",IF(OR(NOT(ISNUMBER(C9)),NOT(ISNUMBER(H9))),"",IF(C9=0,"n.a.",H9*3*'경기 정보'!$C$20/C9)))</f>
        <v/>
      </c>
      <c r="N9" s="60" t="str">
        <f aca="false">IF(A9="","",IF(OR(NOT(ISNUMBER(C9)),NOT(ISNUMBER(F9)),NOT(ISNUMBER(I9))),"",IF(C9=0,"n.a.",(F9+I9)*3/C9)))</f>
        <v/>
      </c>
      <c r="O9" s="60" t="str">
        <f aca="false">IF(A9="","",IF(OR(NOT(ISNUMBER(I9)),NOT(ISNUMBER(K9))),"",IF(I9=0,"n.a.",K9/I9)))</f>
        <v/>
      </c>
      <c r="P9" s="60" t="str">
        <f aca="false">IF(A9="","",IF(OR(NOT(ISNUMBER(C9)),NOT(ISNUMBER(K9))),"",IF(C9=0,"n.a.",K9*27/C9)))</f>
        <v/>
      </c>
      <c r="Q9" s="60" t="str">
        <f aca="false">IF(A9="","",IF(OR(NOT(ISNUMBER(C9)),NOT(ISNUMBER(I9))),"",IF(C9=0,"n.a.",I9*27/C9)))</f>
        <v/>
      </c>
      <c r="R9" s="47" t="str">
        <f aca="false">IF(A9="","",IF(NOT(ISNUMBER(C9)),"",INT(C9/3)&amp;"."&amp;MOD(C9,3)))</f>
        <v/>
      </c>
      <c r="S9" s="38" t="str">
        <f aca="false">IF(A9="","",IF(COUNT(C9,E9:L9)=9,"입력 완료","숫자 입력 대기"))</f>
        <v/>
      </c>
    </row>
    <row r="10" customFormat="false" ht="25.5" hidden="false" customHeight="true" outlineLevel="0" collapsed="false">
      <c r="A10" s="29"/>
      <c r="B10" s="29"/>
      <c r="C10" s="30"/>
      <c r="D10" s="58" t="str">
        <f aca="false">IF(A10="","",IF(NOT(ISNUMBER(C10)),"",C10/3))</f>
        <v/>
      </c>
      <c r="E10" s="30"/>
      <c r="F10" s="30"/>
      <c r="G10" s="30"/>
      <c r="H10" s="30"/>
      <c r="I10" s="30"/>
      <c r="J10" s="30"/>
      <c r="K10" s="30"/>
      <c r="L10" s="30"/>
      <c r="M10" s="59" t="str">
        <f aca="false">IF(A10="","",IF(OR(NOT(ISNUMBER(C10)),NOT(ISNUMBER(H10))),"",IF(C10=0,"n.a.",H10*3*'경기 정보'!$C$20/C10)))</f>
        <v/>
      </c>
      <c r="N10" s="60" t="str">
        <f aca="false">IF(A10="","",IF(OR(NOT(ISNUMBER(C10)),NOT(ISNUMBER(F10)),NOT(ISNUMBER(I10))),"",IF(C10=0,"n.a.",(F10+I10)*3/C10)))</f>
        <v/>
      </c>
      <c r="O10" s="60" t="str">
        <f aca="false">IF(A10="","",IF(OR(NOT(ISNUMBER(I10)),NOT(ISNUMBER(K10))),"",IF(I10=0,"n.a.",K10/I10)))</f>
        <v/>
      </c>
      <c r="P10" s="60" t="str">
        <f aca="false">IF(A10="","",IF(OR(NOT(ISNUMBER(C10)),NOT(ISNUMBER(K10))),"",IF(C10=0,"n.a.",K10*27/C10)))</f>
        <v/>
      </c>
      <c r="Q10" s="60" t="str">
        <f aca="false">IF(A10="","",IF(OR(NOT(ISNUMBER(C10)),NOT(ISNUMBER(I10))),"",IF(C10=0,"n.a.",I10*27/C10)))</f>
        <v/>
      </c>
      <c r="R10" s="47" t="str">
        <f aca="false">IF(A10="","",IF(NOT(ISNUMBER(C10)),"",INT(C10/3)&amp;"."&amp;MOD(C10,3)))</f>
        <v/>
      </c>
      <c r="S10" s="38" t="str">
        <f aca="false">IF(A10="","",IF(COUNT(C10,E10:L10)=9,"입력 완료","숫자 입력 대기"))</f>
        <v/>
      </c>
    </row>
    <row r="11" customFormat="false" ht="25.5" hidden="false" customHeight="true" outlineLevel="0" collapsed="false">
      <c r="A11" s="29"/>
      <c r="B11" s="29"/>
      <c r="C11" s="30"/>
      <c r="D11" s="58" t="str">
        <f aca="false">IF(A11="","",IF(NOT(ISNUMBER(C11)),"",C11/3))</f>
        <v/>
      </c>
      <c r="E11" s="30"/>
      <c r="F11" s="30"/>
      <c r="G11" s="30"/>
      <c r="H11" s="30"/>
      <c r="I11" s="30"/>
      <c r="J11" s="30"/>
      <c r="K11" s="30"/>
      <c r="L11" s="30"/>
      <c r="M11" s="59" t="str">
        <f aca="false">IF(A11="","",IF(OR(NOT(ISNUMBER(C11)),NOT(ISNUMBER(H11))),"",IF(C11=0,"n.a.",H11*3*'경기 정보'!$C$20/C11)))</f>
        <v/>
      </c>
      <c r="N11" s="60" t="str">
        <f aca="false">IF(A11="","",IF(OR(NOT(ISNUMBER(C11)),NOT(ISNUMBER(F11)),NOT(ISNUMBER(I11))),"",IF(C11=0,"n.a.",(F11+I11)*3/C11)))</f>
        <v/>
      </c>
      <c r="O11" s="60" t="str">
        <f aca="false">IF(A11="","",IF(OR(NOT(ISNUMBER(I11)),NOT(ISNUMBER(K11))),"",IF(I11=0,"n.a.",K11/I11)))</f>
        <v/>
      </c>
      <c r="P11" s="60" t="str">
        <f aca="false">IF(A11="","",IF(OR(NOT(ISNUMBER(C11)),NOT(ISNUMBER(K11))),"",IF(C11=0,"n.a.",K11*27/C11)))</f>
        <v/>
      </c>
      <c r="Q11" s="60" t="str">
        <f aca="false">IF(A11="","",IF(OR(NOT(ISNUMBER(C11)),NOT(ISNUMBER(I11))),"",IF(C11=0,"n.a.",I11*27/C11)))</f>
        <v/>
      </c>
      <c r="R11" s="47" t="str">
        <f aca="false">IF(A11="","",IF(NOT(ISNUMBER(C11)),"",INT(C11/3)&amp;"."&amp;MOD(C11,3)))</f>
        <v/>
      </c>
      <c r="S11" s="38" t="str">
        <f aca="false">IF(A11="","",IF(COUNT(C11,E11:L11)=9,"입력 완료","숫자 입력 대기"))</f>
        <v/>
      </c>
    </row>
    <row r="12" customFormat="false" ht="25.5" hidden="false" customHeight="true" outlineLevel="0" collapsed="false">
      <c r="A12" s="26" t="s">
        <v>161</v>
      </c>
      <c r="B12" s="61"/>
      <c r="C12" s="62" t="n">
        <f aca="false">SUM(C2:C11)</f>
        <v>21</v>
      </c>
      <c r="D12" s="63" t="n">
        <f aca="false">IF(S12&lt;&gt;"입력 완료","",IF(COUNTA(A2:A11)=0,"",IF(NOT(ISNUMBER(C12)),"",C12/3)))</f>
        <v>7</v>
      </c>
      <c r="E12" s="62" t="n">
        <f aca="false">SUM(E2:E11)</f>
        <v>97</v>
      </c>
      <c r="F12" s="62" t="n">
        <f aca="false">SUM(F2:F11)</f>
        <v>4</v>
      </c>
      <c r="G12" s="62" t="n">
        <f aca="false">SUM(G2:G11)</f>
        <v>2</v>
      </c>
      <c r="H12" s="62" t="n">
        <f aca="false">SUM(H2:H11)</f>
        <v>1</v>
      </c>
      <c r="I12" s="62" t="n">
        <f aca="false">SUM(I2:I11)</f>
        <v>3</v>
      </c>
      <c r="J12" s="62" t="n">
        <f aca="false">SUM(J2:J11)</f>
        <v>1</v>
      </c>
      <c r="K12" s="62" t="n">
        <f aca="false">SUM(K2:K11)</f>
        <v>10</v>
      </c>
      <c r="L12" s="62" t="n">
        <f aca="false">SUM(L2:L11)</f>
        <v>1</v>
      </c>
      <c r="M12" s="64" t="n">
        <f aca="false">IF(S12&lt;&gt;"입력 완료","",IF(COUNTA(A2:A11)=0,"",IF(OR(NOT(ISNUMBER(C12)),NOT(ISNUMBER(H12))),"",IF(C12=0,"n.a.",H12*3*'경기 정보'!$C$20/C12))))</f>
        <v>0.714285714285714</v>
      </c>
      <c r="N12" s="65" t="n">
        <f aca="false">IF(S12&lt;&gt;"입력 완료","",IF(COUNTA(A2:A11)=0,"",IF(OR(NOT(ISNUMBER(C12)),NOT(ISNUMBER(F12)),NOT(ISNUMBER(I12))),"",IF(C12=0,"n.a.",(F12+I12)*3/C12))))</f>
        <v>1</v>
      </c>
      <c r="O12" s="65" t="n">
        <f aca="false">IF(S12&lt;&gt;"입력 완료","",IF(COUNTA(A2:A11)=0,"",IF(OR(NOT(ISNUMBER(I12)),NOT(ISNUMBER(K12))),"",IF(I12=0,"n.a.",K12/I12))))</f>
        <v>3.33333333333333</v>
      </c>
      <c r="P12" s="65" t="n">
        <f aca="false">IF(S12&lt;&gt;"입력 완료","",IF(COUNTA(A2:A11)=0,"",IF(OR(NOT(ISNUMBER(C12)),NOT(ISNUMBER(K12))),"",IF(C12=0,"n.a.",K12*27/C12))))</f>
        <v>12.8571428571429</v>
      </c>
      <c r="Q12" s="65" t="n">
        <f aca="false">IF(S12&lt;&gt;"입력 완료","",IF(COUNTA(A2:A11)=0,"",IF(OR(NOT(ISNUMBER(C12)),NOT(ISNUMBER(I12))),"",IF(C12=0,"n.a.",I12*27/C12))))</f>
        <v>3.85714285714286</v>
      </c>
      <c r="R12" s="66" t="str">
        <f aca="false">IF(S12&lt;&gt;"입력 완료","",IF(COUNTA(A2:A11)=0,"",IF(NOT(ISNUMBER(C12)),"",INT(C12/3)&amp;"."&amp;MOD(C12,3))))</f>
        <v>7.0</v>
      </c>
      <c r="S12" s="38" t="str">
        <f aca="false">IF(COUNTA(A2:A11)=0,"입력 대기",IF(COUNTIF(S2:S11,"숫자 입력 대기")&gt;0,"숫자 입력 대기","입력 완료"))</f>
        <v>입력 완료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customFormat="false" ht="15" hidden="false" customHeight="true" outlineLevel="0" collapsed="false">
      <c r="A14" s="13" t="s">
        <v>186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customFormat="false" ht="15" hidden="false" customHeight="true" outlineLevel="0" collapsed="false">
      <c r="A15" s="13" t="s">
        <v>187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 customFormat="false" ht="17.15" hidden="false" customHeight="false" outlineLevel="0" collapsed="false">
      <c r="A16" s="24" t="s">
        <v>188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4:M14"/>
    <mergeCell ref="A15:M15"/>
  </mergeCells>
  <dataValidations count="3">
    <dataValidation allowBlank="true" errorStyle="stop" operator="between" showDropDown="false" showErrorMessage="false" showInputMessage="false" sqref="E2:L11" type="decimal">
      <formula1>0</formula1>
      <formula2>999</formula2>
    </dataValidation>
    <dataValidation allowBlank="true" errorStyle="stop" operator="between" showDropDown="false" showErrorMessage="false" showInputMessage="false" sqref="C2:C11" type="decimal">
      <formula1>0</formula1>
      <formula2>99</formula2>
    </dataValidation>
    <dataValidation allowBlank="true" errorStyle="stop" operator="between" showDropDown="false" showErrorMessage="false" showInputMessage="false" sqref="B2:B11" type="list">
      <formula1>"승,패,세,홀"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243B"/>
    <pageSetUpPr fitToPage="false"/>
  </sheetPr>
  <dimension ref="A1: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8"/>
    <col collapsed="false" customWidth="true" hidden="false" outlineLevel="0" max="3" min="3" style="0" width="22.29"/>
    <col collapsed="false" customWidth="true" hidden="false" outlineLevel="0" max="4" min="4" style="0" width="65"/>
    <col collapsed="false" customWidth="true" hidden="false" outlineLevel="0" max="26" min="5" style="0" width="8.71"/>
  </cols>
  <sheetData>
    <row r="1" customFormat="false" ht="36" hidden="false" customHeight="true" outlineLevel="0" collapsed="false">
      <c r="A1" s="67" t="s">
        <v>189</v>
      </c>
      <c r="B1" s="68" t="s">
        <v>190</v>
      </c>
      <c r="C1" s="2"/>
      <c r="D1" s="69" t="s">
        <v>191</v>
      </c>
    </row>
    <row r="2" customFormat="false" ht="36" hidden="false" customHeight="true" outlineLevel="0" collapsed="false">
      <c r="A2" s="70" t="s">
        <v>192</v>
      </c>
      <c r="B2" s="68"/>
      <c r="C2" s="2"/>
      <c r="D2" s="13" t="s">
        <v>193</v>
      </c>
    </row>
    <row r="3" customFormat="false" ht="36" hidden="false" customHeight="true" outlineLevel="0" collapsed="false">
      <c r="A3" s="70" t="s">
        <v>194</v>
      </c>
      <c r="B3" s="68"/>
      <c r="C3" s="2"/>
      <c r="D3" s="13"/>
    </row>
    <row r="4" customFormat="false" ht="36" hidden="false" customHeight="true" outlineLevel="0" collapsed="false">
      <c r="A4" s="67" t="s">
        <v>23</v>
      </c>
      <c r="B4" s="68"/>
      <c r="C4" s="2"/>
      <c r="D4" s="13"/>
    </row>
    <row r="5" customFormat="false" ht="36" hidden="false" customHeight="true" outlineLevel="0" collapsed="false">
      <c r="A5" s="67" t="s">
        <v>195</v>
      </c>
      <c r="B5" s="68"/>
      <c r="C5" s="2"/>
      <c r="D5" s="13"/>
    </row>
    <row r="6" customFormat="false" ht="36" hidden="false" customHeight="true" outlineLevel="0" collapsed="false">
      <c r="A6" s="67" t="s">
        <v>196</v>
      </c>
      <c r="B6" s="68"/>
      <c r="C6" s="2"/>
      <c r="D6" s="6"/>
    </row>
    <row r="7" customFormat="false" ht="36" hidden="false" customHeight="true" outlineLevel="0" collapsed="false">
      <c r="A7" s="67" t="s">
        <v>197</v>
      </c>
      <c r="B7" s="68"/>
      <c r="C7" s="2"/>
      <c r="D7" s="13" t="s">
        <v>198</v>
      </c>
    </row>
    <row r="8" customFormat="false" ht="36" hidden="false" customHeight="true" outlineLevel="0" collapsed="false">
      <c r="A8" s="67" t="s">
        <v>199</v>
      </c>
      <c r="B8" s="68"/>
      <c r="C8" s="2"/>
      <c r="D8" s="13"/>
    </row>
    <row r="9" customFormat="false" ht="36" hidden="false" customHeight="true" outlineLevel="0" collapsed="false">
      <c r="A9" s="67" t="s">
        <v>40</v>
      </c>
      <c r="B9" s="68"/>
      <c r="C9" s="2"/>
      <c r="D9" s="13"/>
    </row>
    <row r="10" customFormat="false" ht="36" hidden="false" customHeight="true" outlineLevel="0" collapsed="false">
      <c r="A10" s="67" t="s">
        <v>200</v>
      </c>
      <c r="B10" s="68"/>
      <c r="C10" s="2"/>
      <c r="D10" s="13"/>
    </row>
    <row r="11" customFormat="false" ht="36" hidden="false" customHeight="true" outlineLevel="0" collapsed="false">
      <c r="A11" s="67" t="s">
        <v>201</v>
      </c>
      <c r="B11" s="68"/>
      <c r="C11" s="2"/>
      <c r="D11" s="13"/>
    </row>
    <row r="12" customFormat="false" ht="36" hidden="false" customHeight="true" outlineLevel="0" collapsed="false">
      <c r="A12" s="67" t="s">
        <v>202</v>
      </c>
      <c r="B12" s="68"/>
      <c r="C12" s="2"/>
      <c r="D12" s="13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D2:D5"/>
    <mergeCell ref="D7:D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243B"/>
    <pageSetUpPr fitToPage="false"/>
  </sheetPr>
  <dimension ref="B1:G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9"/>
    <col collapsed="false" customWidth="true" hidden="false" outlineLevel="0" max="5" min="3" style="0" width="12"/>
    <col collapsed="false" customWidth="true" hidden="false" outlineLevel="0" max="6" min="6" style="0" width="17"/>
    <col collapsed="false" customWidth="true" hidden="false" outlineLevel="0" max="7" min="7" style="0" width="52"/>
    <col collapsed="false" customWidth="true" hidden="false" outlineLevel="0" max="26" min="8" style="0" width="8.71"/>
  </cols>
  <sheetData>
    <row r="1" customFormat="false" ht="15" hidden="false" customHeight="false" outlineLevel="0" collapsed="false">
      <c r="B1" s="25" t="s">
        <v>203</v>
      </c>
      <c r="C1" s="25"/>
      <c r="D1" s="25"/>
      <c r="E1" s="25"/>
    </row>
    <row r="2" customFormat="false" ht="17.15" hidden="false" customHeight="false" outlineLevel="0" collapsed="false">
      <c r="B2" s="24" t="s">
        <v>204</v>
      </c>
    </row>
    <row r="4" customFormat="false" ht="27.75" hidden="false" customHeight="true" outlineLevel="0" collapsed="false">
      <c r="B4" s="23" t="s">
        <v>205</v>
      </c>
      <c r="C4" s="23" t="s">
        <v>206</v>
      </c>
      <c r="D4" s="23" t="s">
        <v>207</v>
      </c>
      <c r="E4" s="23" t="s">
        <v>208</v>
      </c>
      <c r="F4" s="23" t="s">
        <v>209</v>
      </c>
      <c r="G4" s="23" t="s">
        <v>210</v>
      </c>
    </row>
    <row r="5" customFormat="false" ht="27.75" hidden="false" customHeight="true" outlineLevel="0" collapsed="false">
      <c r="B5" s="24" t="s">
        <v>211</v>
      </c>
      <c r="C5" s="71" t="n">
        <f aca="false">IF(NOT(ISNUMBER('경기 정보'!C8)),"",'경기 정보'!C8)</f>
        <v>4</v>
      </c>
      <c r="D5" s="71" t="n">
        <f aca="false">SUM('타자 기록'!J2:J16)</f>
        <v>4</v>
      </c>
      <c r="E5" s="72" t="n">
        <f aca="false">IF(OR(NOT(ISNUMBER(C5)),NOT(ISNUMBER(D5))),"",D5-C5)</f>
        <v>0</v>
      </c>
      <c r="F5" s="73" t="str">
        <f aca="false">IF(NOT(ISNUMBER(C5)),"입력 대기",IF(C5=D5,"통과","확인 필요"))</f>
        <v>통과</v>
      </c>
      <c r="G5" s="37" t="s">
        <v>212</v>
      </c>
    </row>
    <row r="6" customFormat="false" ht="27.75" hidden="false" customHeight="true" outlineLevel="0" collapsed="false">
      <c r="B6" s="24" t="s">
        <v>213</v>
      </c>
      <c r="C6" s="71" t="n">
        <f aca="false">IF(NOT(ISNUMBER('경기 정보'!C9)),"",'경기 정보'!C9)</f>
        <v>2</v>
      </c>
      <c r="D6" s="71" t="n">
        <f aca="false">SUM('투수 기록'!G2:G11)</f>
        <v>2</v>
      </c>
      <c r="E6" s="72" t="n">
        <f aca="false">IF(OR(NOT(ISNUMBER(C6)),NOT(ISNUMBER(D6))),"",D6-C6)</f>
        <v>0</v>
      </c>
      <c r="F6" s="73" t="str">
        <f aca="false">IF(NOT(ISNUMBER(C6)),"입력 대기",IF(C6=D6,"통과","확인 필요"))</f>
        <v>통과</v>
      </c>
      <c r="G6" s="37" t="s">
        <v>214</v>
      </c>
    </row>
    <row r="7" customFormat="false" ht="27.75" hidden="false" customHeight="true" outlineLevel="0" collapsed="false">
      <c r="B7" s="24" t="s">
        <v>215</v>
      </c>
      <c r="C7" s="71" t="n">
        <f aca="false">IF(NOT(ISNUMBER('경기 정보'!C21)),"",'경기 정보'!C21)</f>
        <v>21</v>
      </c>
      <c r="D7" s="71" t="n">
        <f aca="false">SUM('투수 기록'!C2:C11)</f>
        <v>21</v>
      </c>
      <c r="E7" s="72" t="n">
        <f aca="false">IF(OR(NOT(ISNUMBER(C7)),NOT(ISNUMBER(D7))),"",D7-C7)</f>
        <v>0</v>
      </c>
      <c r="F7" s="73" t="str">
        <f aca="false">IF(NOT(ISNUMBER(C7)),"입력 대기",IF(C7=D7,"통과","확인 필요"))</f>
        <v>통과</v>
      </c>
      <c r="G7" s="37" t="s">
        <v>216</v>
      </c>
    </row>
    <row r="8" customFormat="false" ht="27.75" hidden="false" customHeight="true" outlineLevel="0" collapsed="false">
      <c r="B8" s="24" t="s">
        <v>217</v>
      </c>
      <c r="C8" s="71" t="n">
        <f aca="false">SUM('타자 기록'!J2:J16)</f>
        <v>4</v>
      </c>
      <c r="D8" s="71" t="n">
        <f aca="false">SUM('타자 기록'!K2:K16)</f>
        <v>4</v>
      </c>
      <c r="E8" s="72" t="n">
        <f aca="false">IF(OR(NOT(ISNUMBER(C8)),NOT(ISNUMBER(D8))),"",D8-C8)</f>
        <v>0</v>
      </c>
      <c r="F8" s="74" t="str">
        <f aca="false">IF(NOT(ISNUMBER('경기 정보'!C8)),"입력 대기",IF(D8&lt;=C8,"통과","확인 필요"))</f>
        <v>통과</v>
      </c>
      <c r="G8" s="37" t="s">
        <v>218</v>
      </c>
    </row>
    <row r="9" customFormat="false" ht="27.75" hidden="false" customHeight="true" outlineLevel="0" collapsed="false">
      <c r="B9" s="24" t="s">
        <v>219</v>
      </c>
      <c r="C9" s="71" t="n">
        <f aca="false">'타자 기록'!AB17</f>
        <v>32</v>
      </c>
      <c r="D9" s="71" t="n">
        <f aca="false">SUM('타자 기록'!M17,'타자 기록'!R17,'타자 기록'!S17,'타자 기록'!AC17,'타자 기록'!AD17,'타자 기록'!AI17)</f>
        <v>32</v>
      </c>
      <c r="E9" s="72" t="n">
        <f aca="false">IF(OR(NOT(ISNUMBER(C9)),NOT(ISNUMBER(D9))),"",D9-C9)</f>
        <v>0</v>
      </c>
      <c r="F9" s="73" t="str">
        <f aca="false">IF(C9=0,"입력 대기",IF(C9=D9,"통과","확인 필요"))</f>
        <v>통과</v>
      </c>
      <c r="G9" s="34" t="s">
        <v>220</v>
      </c>
    </row>
    <row r="10" customFormat="false" ht="27.75" hidden="false" customHeight="true" outlineLevel="0" collapsed="false">
      <c r="B10" s="24" t="s">
        <v>221</v>
      </c>
      <c r="C10" s="71" t="n">
        <f aca="false">9</f>
        <v>9</v>
      </c>
      <c r="D10" s="71" t="n">
        <f aca="false">COUNTA('타자 기록'!B2:B16)</f>
        <v>10</v>
      </c>
      <c r="E10" s="72" t="n">
        <f aca="false">IF(OR(NOT(ISNUMBER(C10)),NOT(ISNUMBER(D10))),"",D10-C10)</f>
        <v>1</v>
      </c>
      <c r="F10" s="73" t="str">
        <f aca="false">IF(D10&gt;=C10,"통과","확인 필요")</f>
        <v>통과</v>
      </c>
      <c r="G10" s="37" t="s">
        <v>222</v>
      </c>
    </row>
    <row r="11" customFormat="false" ht="27.75" hidden="false" customHeight="true" outlineLevel="0" collapsed="false">
      <c r="B11" s="24" t="s">
        <v>223</v>
      </c>
      <c r="C11" s="71" t="n">
        <f aca="false">1</f>
        <v>1</v>
      </c>
      <c r="D11" s="71" t="n">
        <f aca="false">COUNTA('투수 기록'!A2:A11)</f>
        <v>3</v>
      </c>
      <c r="E11" s="72" t="n">
        <f aca="false">IF(OR(NOT(ISNUMBER(C11)),NOT(ISNUMBER(D11))),"",D11-C11)</f>
        <v>2</v>
      </c>
      <c r="F11" s="73" t="str">
        <f aca="false">IF(D11&gt;=C11,"통과","확인 필요")</f>
        <v>통과</v>
      </c>
      <c r="G11" s="37" t="s">
        <v>224</v>
      </c>
    </row>
    <row r="12" customFormat="false" ht="27.75" hidden="false" customHeight="true" outlineLevel="0" collapsed="false">
      <c r="B12" s="24" t="s">
        <v>225</v>
      </c>
      <c r="C12" s="71" t="n">
        <f aca="false">9</f>
        <v>9</v>
      </c>
      <c r="D12" s="71" t="n">
        <f aca="false">IF(COUNTIF('타자 기록'!A2:A10,1)=1,1,0)+IF(COUNTIF('타자 기록'!A2:A10,2)=1,1,0)+IF(COUNTIF('타자 기록'!A2:A10,3)=1,1,0)+IF(COUNTIF('타자 기록'!A2:A10,4)=1,1,0)+IF(COUNTIF('타자 기록'!A2:A10,5)=1,1,0)+IF(COUNTIF('타자 기록'!A2:A10,6)=1,1,0)+IF(COUNTIF('타자 기록'!A2:A10,7)=1,1,0)+IF(COUNTIF('타자 기록'!A2:A10,8)=1,1,0)+IF(COUNTIF('타자 기록'!A2:A10,9)=1,1,0)</f>
        <v>9</v>
      </c>
      <c r="E12" s="72" t="n">
        <f aca="false">IF(OR(NOT(ISNUMBER(C12)),NOT(ISNUMBER(D12))),"",D12-C12)</f>
        <v>0</v>
      </c>
      <c r="F12" s="73" t="str">
        <f aca="false">IF(C12=D12,"통과","확인 필요")</f>
        <v>통과</v>
      </c>
      <c r="G12" s="34" t="s">
        <v>226</v>
      </c>
    </row>
    <row r="13" customFormat="false" ht="27.75" hidden="false" customHeight="true" outlineLevel="0" collapsed="false">
      <c r="B13" s="24" t="s">
        <v>227</v>
      </c>
      <c r="C13" s="71" t="n">
        <f aca="false">1</f>
        <v>1</v>
      </c>
      <c r="D13" s="71" t="n">
        <f aca="false">IF(OR(NOT(ISNUMBER('경기 정보'!C8)),NOT(ISNUMBER('경기 정보'!C9))),"",IF('경기 정보'!C8&gt;'경기 정보'!C9,IF(AND(COUNTIF('투수 기록'!B2:B11,"승")=1,COUNTIF('투수 기록'!B2:B11,"패")=0),1,0),IF('경기 정보'!C8&lt;'경기 정보'!C9,IF(AND(COUNTIF('투수 기록'!B2:B11,"패")=1,COUNTIF('투수 기록'!B2:B11,"승")=0),1,0),IF(COUNTIF('투수 기록'!B2:B11,"승")+COUNTIF('투수 기록'!B2:B11,"패")=0,1,0))))</f>
        <v>1</v>
      </c>
      <c r="E13" s="72" t="n">
        <f aca="false">IF(OR(NOT(ISNUMBER(C13)),NOT(ISNUMBER(D13))),"",D13-C13)</f>
        <v>0</v>
      </c>
      <c r="F13" s="73" t="str">
        <f aca="false">IF(NOT(ISNUMBER(D13)),"입력 대기",IF(C13=D13,"통과","확인 필요"))</f>
        <v>통과</v>
      </c>
      <c r="G13" s="37" t="s">
        <v>228</v>
      </c>
    </row>
    <row r="14" customFormat="false" ht="27.75" hidden="false" customHeight="true" outlineLevel="0" collapsed="false">
      <c r="B14" s="24" t="s">
        <v>229</v>
      </c>
      <c r="C14" s="71" t="n">
        <f aca="false">5</f>
        <v>5</v>
      </c>
      <c r="D14" s="71" t="n">
        <f aca="false">COUNTA('경기 정보'!C4:C5)+COUNTA('경기 정보'!C8:C10)</f>
        <v>5</v>
      </c>
      <c r="E14" s="72" t="n">
        <f aca="false">IF(OR(NOT(ISNUMBER(C14)),NOT(ISNUMBER(D14))),"",D14-C14)</f>
        <v>0</v>
      </c>
      <c r="F14" s="73" t="str">
        <f aca="false">IF(C14=D14,"통과","입력 대기")</f>
        <v>통과</v>
      </c>
      <c r="G14" s="37" t="s">
        <v>230</v>
      </c>
    </row>
    <row r="15" customFormat="false" ht="27.75" hidden="false" customHeight="true" outlineLevel="0" collapsed="false">
      <c r="B15" s="24" t="s">
        <v>231</v>
      </c>
      <c r="C15" s="71" t="n">
        <f aca="false">0</f>
        <v>0</v>
      </c>
      <c r="D15" s="71" t="n">
        <f aca="false">'타자 기록'!AB17-(COUNTIF('타자 기록'!D2:I16,"안타")+COUNTIF('타자 기록'!V2:AA16,"안타")+COUNTIF('타자 기록'!D2:I16,"2루타")+COUNTIF('타자 기록'!V2:AA16,"2루타")+COUNTIF('타자 기록'!D2:I16,"3루타")+COUNTIF('타자 기록'!V2:AA16,"3루타")+COUNTIF('타자 기록'!D2:I16,"홈런")+COUNTIF('타자 기록'!V2:AA16,"홈런")+COUNTIF('타자 기록'!D2:I16,"삼진")+COUNTIF('타자 기록'!V2:AA16,"삼진")+COUNTIF('타자 기록'!D2:I16,"루킹삼진")+COUNTIF('타자 기록'!V2:AA16,"루킹삼진")+COUNTIF('타자 기록'!D2:I16,"땅볼")+COUNTIF('타자 기록'!V2:AA16,"땅볼")+COUNTIF('타자 기록'!D2:I16,"뜬공")+COUNTIF('타자 기록'!V2:AA16,"뜬공")+COUNTIF('타자 기록'!D2:I16,"직선타")+COUNTIF('타자 기록'!V2:AA16,"직선타")+COUNTIF('타자 기록'!D2:I16,"병살")+COUNTIF('타자 기록'!V2:AA16,"병살")+COUNTIF('타자 기록'!D2:I16,"실책출루")+COUNTIF('타자 기록'!V2:AA16,"실책출루")+COUNTIF('타자 기록'!D2:I16,"야수선택")+COUNTIF('타자 기록'!V2:AA16,"야수선택")+COUNTIF('타자 기록'!D2:I16,"볼넷")+COUNTIF('타자 기록'!V2:AA16,"볼넷")+COUNTIF('타자 기록'!D2:I16,"사구")+COUNTIF('타자 기록'!V2:AA16,"사구")+COUNTIF('타자 기록'!D2:I16,"희생플라이")+COUNTIF('타자 기록'!V2:AA16,"희생플라이")+COUNTIF('타자 기록'!D2:I16,"희생번트")+COUNTIF('타자 기록'!V2:AA16,"희생번트")+COUNTIF('타자 기록'!D2:I16,"낫아웃출루")+COUNTIF('타자 기록'!V2:AA16,"낫아웃출루")+COUNTIF('타자 기록'!D2:I16,"포수방해")+COUNTIF('타자 기록'!V2:AA16,"포수방해"))</f>
        <v>0</v>
      </c>
      <c r="E15" s="72" t="n">
        <f aca="false">IF(OR(NOT(ISNUMBER(C15)),NOT(ISNUMBER(D15))),"",D15-C15)</f>
        <v>0</v>
      </c>
      <c r="F15" s="73" t="str">
        <f aca="false">IF(C15=D15,"통과","확인 필요")</f>
        <v>통과</v>
      </c>
      <c r="G15" s="37" t="s">
        <v>232</v>
      </c>
    </row>
    <row r="16" customFormat="false" ht="27.75" hidden="false" customHeight="true" outlineLevel="0" collapsed="false">
      <c r="B16" s="24" t="s">
        <v>233</v>
      </c>
      <c r="C16" s="71" t="n">
        <f aca="false">0</f>
        <v>0</v>
      </c>
      <c r="D16" s="71" t="n">
        <f aca="false">SUMPRODUCT(--('타자 기록'!B2:B16=""),'타자 기록'!AB2:AB16)+SUMIFS('타자 기록'!J2:J16,'타자 기록'!B2:B16,"")+SUMIFS('타자 기록'!K2:K16,'타자 기록'!B2:B16,"")+SUMIFS('타자 기록'!L2:L16,'타자 기록'!B2:B16,"")</f>
        <v>0</v>
      </c>
      <c r="E16" s="72" t="n">
        <f aca="false">IF(OR(NOT(ISNUMBER(C16)),NOT(ISNUMBER(D16))),"",D16-C16)</f>
        <v>0</v>
      </c>
      <c r="F16" s="73" t="str">
        <f aca="false">IF(C16=D16,"통과","확인 필요")</f>
        <v>통과</v>
      </c>
      <c r="G16" s="37" t="s">
        <v>234</v>
      </c>
    </row>
    <row r="17" customFormat="false" ht="27.75" hidden="false" customHeight="true" outlineLevel="0" collapsed="false">
      <c r="B17" s="24" t="s">
        <v>235</v>
      </c>
      <c r="C17" s="71" t="n">
        <f aca="false">0</f>
        <v>0</v>
      </c>
      <c r="D17" s="71" t="n">
        <f aca="false">SUMPRODUCT(--('투수 기록'!H2:H11&gt;'투수 기록'!G2:G11))</f>
        <v>0</v>
      </c>
      <c r="E17" s="72" t="n">
        <f aca="false">IF(OR(NOT(ISNUMBER(C17)),NOT(ISNUMBER(D17))),"",D17-C17)</f>
        <v>0</v>
      </c>
      <c r="F17" s="73" t="str">
        <f aca="false">IF(C17=D17,"통과","확인 필요")</f>
        <v>통과</v>
      </c>
      <c r="G17" s="37" t="s">
        <v>236</v>
      </c>
    </row>
    <row r="18" customFormat="false" ht="27.75" hidden="false" customHeight="true" outlineLevel="0" collapsed="false">
      <c r="B18" s="24" t="s">
        <v>237</v>
      </c>
      <c r="C18" s="71" t="n">
        <f aca="false">0</f>
        <v>0</v>
      </c>
      <c r="D18" s="71" t="n">
        <f aca="false">SUMPRODUCT(--('투수 기록'!L2:L11&gt;'투수 기록'!F2:F11))</f>
        <v>0</v>
      </c>
      <c r="E18" s="72" t="n">
        <f aca="false">IF(OR(NOT(ISNUMBER(C18)),NOT(ISNUMBER(D18))),"",D18-C18)</f>
        <v>0</v>
      </c>
      <c r="F18" s="73" t="str">
        <f aca="false">IF(C18=D18,"통과","확인 필요")</f>
        <v>통과</v>
      </c>
      <c r="G18" s="37" t="s">
        <v>238</v>
      </c>
    </row>
    <row r="19" customFormat="false" ht="27.75" hidden="false" customHeight="true" outlineLevel="0" collapsed="false">
      <c r="B19" s="24" t="s">
        <v>239</v>
      </c>
      <c r="C19" s="71" t="n">
        <f aca="false">0</f>
        <v>0</v>
      </c>
      <c r="D19" s="71" t="n">
        <f aca="false">IF('투수 기록'!A2="",0,9-COUNT('투수 기록'!C2,'투수 기록'!E2:L2))+IF('투수 기록'!A3="",0,9-COUNT('투수 기록'!C3,'투수 기록'!E3:L3))+IF('투수 기록'!A4="",0,9-COUNT('투수 기록'!C4,'투수 기록'!E4:L4))+IF('투수 기록'!A5="",0,9-COUNT('투수 기록'!C5,'투수 기록'!E5:L5))+IF('투수 기록'!A6="",0,9-COUNT('투수 기록'!C6,'투수 기록'!E6:L6))+IF('투수 기록'!A7="",0,9-COUNT('투수 기록'!C7,'투수 기록'!E7:L7))+IF('투수 기록'!A8="",0,9-COUNT('투수 기록'!C8,'투수 기록'!E8:L8))+IF('투수 기록'!A9="",0,9-COUNT('투수 기록'!C9,'투수 기록'!E9:L9))+IF('투수 기록'!A10="",0,9-COUNT('투수 기록'!C10,'투수 기록'!E10:L10))+IF('투수 기록'!A11="",0,9-COUNT('투수 기록'!C11,'투수 기록'!E11:L11))</f>
        <v>0</v>
      </c>
      <c r="E19" s="72" t="n">
        <f aca="false">IF(OR(NOT(ISNUMBER(C19)),NOT(ISNUMBER(D19))),"",D19-C19)</f>
        <v>0</v>
      </c>
      <c r="F19" s="73" t="str">
        <f aca="false">IF(C19=D19,"통과","입력 대기")</f>
        <v>통과</v>
      </c>
      <c r="G19" s="34" t="s">
        <v>240</v>
      </c>
    </row>
    <row r="20" customFormat="false" ht="27.75" hidden="false" customHeight="true" outlineLevel="0" collapsed="false">
      <c r="B20" s="24" t="s">
        <v>241</v>
      </c>
      <c r="C20" s="71" t="n">
        <f aca="false">1</f>
        <v>1</v>
      </c>
      <c r="D20" s="71" t="n">
        <f aca="false">IF(NOT(ISNUMBER('경기 정보'!C10)),"",IF(AND('경기 정보'!C10&gt;=0,OR(ABS(MOD('경기 정보'!C10,1))&lt;0.000001,ABS(MOD('경기 정보'!C10,1)-0.1)&lt;0.000001,ABS(MOD('경기 정보'!C10,1)-0.2)&lt;0.000001)),1,0))</f>
        <v>1</v>
      </c>
      <c r="E20" s="72" t="n">
        <f aca="false">IF(OR(NOT(ISNUMBER(C20)),NOT(ISNUMBER(D20))),"",D20-C20)</f>
        <v>0</v>
      </c>
      <c r="F20" s="73" t="str">
        <f aca="false">IF(NOT(ISNUMBER(D20)),"입력 대기",IF(C20=D20,"통과","확인 필요"))</f>
        <v>통과</v>
      </c>
      <c r="G20" s="37" t="s">
        <v>242</v>
      </c>
    </row>
    <row r="21" customFormat="false" ht="27.75" hidden="false" customHeight="true" outlineLevel="0" collapsed="false">
      <c r="B21" s="24" t="s">
        <v>113</v>
      </c>
      <c r="C21" s="71" t="n">
        <f aca="false">1</f>
        <v>1</v>
      </c>
      <c r="D21" s="71" t="n">
        <f aca="false">IF('경기 정보'!C25="확인 완료",1,0)</f>
        <v>0</v>
      </c>
      <c r="E21" s="72" t="n">
        <f aca="false">IF(OR(NOT(ISNUMBER(C21)),NOT(ISNUMBER(D21))),"",D21-C21)</f>
        <v>-1</v>
      </c>
      <c r="F21" s="73" t="str">
        <f aca="false">IF(D21=1,"통과","확인 필요")</f>
        <v>확인 필요</v>
      </c>
      <c r="G21" s="37" t="s">
        <v>243</v>
      </c>
    </row>
    <row r="22" customFormat="false" ht="27.75" hidden="false" customHeight="true" outlineLevel="0" collapsed="false">
      <c r="B22" s="24" t="s">
        <v>244</v>
      </c>
      <c r="C22" s="71" t="n">
        <f aca="false">1</f>
        <v>1</v>
      </c>
      <c r="D22" s="71" t="n">
        <f aca="false">IF(OR('경기 정보'!C26="대조 완료",'경기 정보'!C26="1인 기록 재확인"),1,0)</f>
        <v>0</v>
      </c>
      <c r="E22" s="72" t="n">
        <f aca="false">IF(OR(NOT(ISNUMBER(C22)),NOT(ISNUMBER(D22))),"",D22-C22)</f>
        <v>-1</v>
      </c>
      <c r="F22" s="73" t="str">
        <f aca="false">IF(D22=1,"통과","확인 필요")</f>
        <v>확인 필요</v>
      </c>
      <c r="G22" s="37" t="s">
        <v>245</v>
      </c>
    </row>
    <row r="23" customFormat="false" ht="27.75" hidden="false" customHeight="true" outlineLevel="0" collapsed="false">
      <c r="B23" s="24" t="s">
        <v>246</v>
      </c>
      <c r="C23" s="71" t="n">
        <f aca="false">4</f>
        <v>4</v>
      </c>
      <c r="D23" s="71" t="n">
        <f aca="false">COUNTA('경기 정보'!C12)+COUNTA('경기 정보'!C14:C16)</f>
        <v>0</v>
      </c>
      <c r="E23" s="72" t="n">
        <f aca="false">IF(OR(NOT(ISNUMBER(C23)),NOT(ISNUMBER(D23))),"",D23-C23)</f>
        <v>-4</v>
      </c>
      <c r="F23" s="73" t="str">
        <f aca="false">IF(C23=D23,"통과","입력 대기")</f>
        <v>입력 대기</v>
      </c>
      <c r="G23" s="37" t="s">
        <v>247</v>
      </c>
    </row>
    <row r="24" customFormat="false" ht="27.75" hidden="false" customHeight="true" outlineLevel="0" collapsed="false">
      <c r="B24" s="35" t="s">
        <v>248</v>
      </c>
      <c r="C24" s="71" t="n">
        <f aca="false">1</f>
        <v>1</v>
      </c>
      <c r="D24" s="71" t="str">
        <f aca="false">IF(OR(NOT(ISNUMBER('경기 정보'!C16)),NOT(ISNUMBER('경기 정보'!C22)),NOT(ISNUMBER('경기 정보'!C4))),"",IF(AND('경기 정보'!C16&gt;='경기 정보'!C4,'경기 정보'!C22&gt;='경기 정보'!C4,MAX('경기 정보'!C16,'경기 정보'!C22)&lt;='경기 정보'!C23),1,0))</f>
        <v/>
      </c>
      <c r="E24" s="72" t="str">
        <f aca="false">IF(OR(NOT(ISNUMBER(C24)),NOT(ISNUMBER(D24))),"",D24-C24)</f>
        <v/>
      </c>
      <c r="F24" s="73" t="str">
        <f aca="false">IF(NOT(ISNUMBER(D24)),"입력 대기",IF(D24=1,"통과","확인 필요"))</f>
        <v>입력 대기</v>
      </c>
      <c r="G24" s="37" t="s">
        <v>249</v>
      </c>
    </row>
    <row r="25" customFormat="false" ht="30" hidden="false" customHeight="true" outlineLevel="0" collapsed="false">
      <c r="B25" s="24" t="s">
        <v>250</v>
      </c>
      <c r="C25" s="71" t="n">
        <f aca="false">0</f>
        <v>0</v>
      </c>
      <c r="D25" s="71" t="n">
        <f aca="false">SUMPRODUCT(--('타자 기록'!J2:L16&lt;0))+SUMPRODUCT(--('투수 기록'!C2:C11&lt;0))+SUMPRODUCT(--('투수 기록'!E2:L11&lt;0))+SUMPRODUCT(--(MOD(N('타자 기록'!J2:L16),1)&lt;&gt;0))+SUMPRODUCT(--(MOD(N('투수 기록'!C2:C11),1)&lt;&gt;0))+SUMPRODUCT(--(MOD(N('투수 기록'!E2:L11),1)&lt;&gt;0))+COUNTA('타자 기록'!J2:L16)-COUNT('타자 기록'!J2:L16)+COUNTA('투수 기록'!C2:C11)-COUNT('투수 기록'!C2:C11)+COUNTA('투수 기록'!E2:L11)-COUNT('투수 기록'!E2:L11)</f>
        <v>0</v>
      </c>
      <c r="E25" s="71" t="n">
        <f aca="false">D25-C25</f>
        <v>0</v>
      </c>
      <c r="F25" s="73" t="str">
        <f aca="false">IF(D25=0,"통과","확인 필요")</f>
        <v>통과</v>
      </c>
      <c r="G25" s="37" t="s">
        <v>251</v>
      </c>
    </row>
    <row r="26" customFormat="false" ht="30" hidden="false" customHeight="true" outlineLevel="0" collapsed="false">
      <c r="B26" s="24" t="s">
        <v>252</v>
      </c>
      <c r="C26" s="71" t="n">
        <f aca="false">0</f>
        <v>0</v>
      </c>
      <c r="D26" s="71" t="n">
        <f aca="false">IF('투수 기록'!A2="",COUNTA('투수 기록'!B2:C2)+COUNTA('투수 기록'!E2:L2),0)+IF('투수 기록'!A3="",COUNTA('투수 기록'!B3:C3)+COUNTA('투수 기록'!E3:L3),0)+IF('투수 기록'!A4="",COUNTA('투수 기록'!B4:C4)+COUNTA('투수 기록'!E4:L4),0)+IF('투수 기록'!A5="",COUNTA('투수 기록'!B5:C5)+COUNTA('투수 기록'!E5:L5),0)+IF('투수 기록'!A6="",COUNTA('투수 기록'!B6:C6)+COUNTA('투수 기록'!E6:L6),0)+IF('투수 기록'!A7="",COUNTA('투수 기록'!B7:C7)+COUNTA('투수 기록'!E7:L7),0)+IF('투수 기록'!A8="",COUNTA('투수 기록'!B8:C8)+COUNTA('투수 기록'!E8:L8),0)+IF('투수 기록'!A9="",COUNTA('투수 기록'!B9:C9)+COUNTA('투수 기록'!E9:L9),0)+IF('투수 기록'!A10="",COUNTA('투수 기록'!B10:C10)+COUNTA('투수 기록'!E10:L10),0)+IF('투수 기록'!A11="",COUNTA('투수 기록'!B11:C11)+COUNTA('투수 기록'!E11:L11),0)</f>
        <v>0</v>
      </c>
      <c r="E26" s="71" t="n">
        <f aca="false">D26-C26</f>
        <v>0</v>
      </c>
      <c r="F26" s="73" t="str">
        <f aca="false">IF(D26=0,"통과","확인 필요")</f>
        <v>통과</v>
      </c>
      <c r="G26" s="37" t="s">
        <v>253</v>
      </c>
    </row>
    <row r="27" customFormat="false" ht="27.75" hidden="false" customHeight="true" outlineLevel="0" collapsed="false">
      <c r="B27" s="24" t="s">
        <v>254</v>
      </c>
      <c r="C27" s="71"/>
      <c r="D27" s="71"/>
      <c r="E27" s="71"/>
      <c r="F27" s="73" t="str">
        <f aca="false">IF(COUNTIF(F5:F26,"확인 필요")&gt;0,"확인 필요",IF(COUNTIF(F5:F26,"입력 대기")&gt;0,"입력 대기","검수 완료"))</f>
        <v>확인 필요</v>
      </c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>
      <c r="B30" s="35" t="s">
        <v>255</v>
      </c>
    </row>
    <row r="31" customFormat="false" ht="15.75" hidden="false" customHeight="true" outlineLevel="0" collapsed="false">
      <c r="B31" s="24" t="s">
        <v>256</v>
      </c>
    </row>
    <row r="32" customFormat="false" ht="15.75" hidden="false" customHeight="true" outlineLevel="0" collapsed="false"/>
    <row r="33" customFormat="false" ht="15.75" hidden="false" customHeight="true" outlineLevel="0" collapsed="false">
      <c r="B33" s="24" t="s">
        <v>257</v>
      </c>
    </row>
    <row r="34" customFormat="false" ht="30" hidden="false" customHeight="true" outlineLevel="0" collapsed="false">
      <c r="B34" s="23" t="s">
        <v>258</v>
      </c>
      <c r="C34" s="23" t="s">
        <v>259</v>
      </c>
      <c r="D34" s="23" t="s">
        <v>260</v>
      </c>
      <c r="E34" s="23" t="s">
        <v>261</v>
      </c>
      <c r="F34" s="23" t="s">
        <v>262</v>
      </c>
    </row>
    <row r="35" customFormat="false" ht="15.75" hidden="false" customHeight="true" outlineLevel="0" collapsed="false">
      <c r="B35" s="39"/>
      <c r="C35" s="36"/>
      <c r="D35" s="36"/>
      <c r="E35" s="36"/>
      <c r="F35" s="36"/>
    </row>
    <row r="36" customFormat="false" ht="15.75" hidden="false" customHeight="true" outlineLevel="0" collapsed="false">
      <c r="B36" s="39"/>
      <c r="C36" s="36"/>
      <c r="D36" s="36"/>
      <c r="E36" s="36"/>
      <c r="F36" s="36"/>
    </row>
    <row r="37" customFormat="false" ht="15.75" hidden="false" customHeight="true" outlineLevel="0" collapsed="false">
      <c r="B37" s="39"/>
      <c r="C37" s="36"/>
      <c r="D37" s="36"/>
      <c r="E37" s="36"/>
      <c r="F37" s="36"/>
    </row>
    <row r="38" customFormat="false" ht="15.75" hidden="false" customHeight="true" outlineLevel="0" collapsed="false">
      <c r="B38" s="39"/>
      <c r="C38" s="36"/>
      <c r="D38" s="36"/>
      <c r="E38" s="36"/>
      <c r="F38" s="36"/>
    </row>
    <row r="39" customFormat="false" ht="15.75" hidden="false" customHeight="true" outlineLevel="0" collapsed="false">
      <c r="B39" s="39"/>
      <c r="C39" s="36"/>
      <c r="D39" s="36"/>
      <c r="E39" s="36"/>
      <c r="F39" s="36"/>
    </row>
    <row r="40" customFormat="false" ht="15.75" hidden="false" customHeight="true" outlineLevel="0" collapsed="false">
      <c r="B40" s="39"/>
      <c r="C40" s="36"/>
      <c r="D40" s="36"/>
      <c r="E40" s="36"/>
      <c r="F40" s="36"/>
    </row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B1:E1"/>
  </mergeCells>
  <conditionalFormatting sqref="E5:E14">
    <cfRule type="expression" priority="2" aboveAverage="0" equalAverage="0" bottom="0" percent="0" rank="0" text="" dxfId="0">
      <formula>E5="확인 필요"</formula>
    </cfRule>
    <cfRule type="expression" priority="3" aboveAverage="0" equalAverage="0" bottom="0" percent="0" rank="0" text="" dxfId="1">
      <formula>E5="통과"</formula>
    </cfRule>
  </conditionalFormatting>
  <conditionalFormatting sqref="F5:F27">
    <cfRule type="containsText" priority="4" operator="containsText" aboveAverage="0" equalAverage="0" bottom="0" percent="0" rank="0" text="확인 필요" dxfId="2">
      <formula>NOT(ISERROR(SEARCH("확인 필요",F5)))</formula>
    </cfRule>
    <cfRule type="containsText" priority="5" operator="containsText" aboveAverage="0" equalAverage="0" bottom="0" percent="0" rank="0" text="입력 대기" dxfId="3">
      <formula>NOT(ISERROR(SEARCH("입력 대기",F5)))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1C36"/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3"/>
    <col collapsed="false" customWidth="true" hidden="false" outlineLevel="0" max="3" min="3" style="0" width="17"/>
    <col collapsed="false" customWidth="true" hidden="false" outlineLevel="0" max="4" min="4" style="0" width="3"/>
    <col collapsed="false" customWidth="true" hidden="false" outlineLevel="0" max="5" min="5" style="0" width="23"/>
    <col collapsed="false" customWidth="true" hidden="false" outlineLevel="0" max="6" min="6" style="0" width="17"/>
    <col collapsed="false" customWidth="true" hidden="false" outlineLevel="0" max="7" min="7" style="0" width="3"/>
    <col collapsed="false" customWidth="true" hidden="false" outlineLevel="0" max="8" min="8" style="0" width="23"/>
    <col collapsed="false" customWidth="true" hidden="false" outlineLevel="0" max="9" min="9" style="0" width="17"/>
    <col collapsed="false" customWidth="true" hidden="false" outlineLevel="0" max="26" min="10" style="0" width="8.71"/>
  </cols>
  <sheetData>
    <row r="1" customFormat="false" ht="15" hidden="false" customHeight="false" outlineLevel="0" collapsed="false">
      <c r="A1" s="2"/>
    </row>
    <row r="2" customFormat="false" ht="23.85" hidden="false" customHeight="false" outlineLevel="0" collapsed="false">
      <c r="B2" s="75" t="s">
        <v>263</v>
      </c>
      <c r="C2" s="76"/>
      <c r="D2" s="76"/>
      <c r="E2" s="76"/>
      <c r="F2" s="76"/>
      <c r="G2" s="76"/>
      <c r="H2" s="76"/>
      <c r="I2" s="76"/>
    </row>
    <row r="3" customFormat="false" ht="15" hidden="false" customHeight="false" outlineLevel="0" collapsed="false">
      <c r="B3" s="76"/>
      <c r="C3" s="76"/>
      <c r="D3" s="76"/>
      <c r="E3" s="76"/>
      <c r="F3" s="76"/>
      <c r="G3" s="76"/>
      <c r="H3" s="76"/>
      <c r="I3" s="76"/>
    </row>
    <row r="4" customFormat="false" ht="30" hidden="false" customHeight="true" outlineLevel="0" collapsed="false">
      <c r="B4" s="23" t="s">
        <v>82</v>
      </c>
      <c r="C4" s="23" t="s">
        <v>264</v>
      </c>
      <c r="D4" s="77"/>
      <c r="E4" s="23" t="s">
        <v>265</v>
      </c>
      <c r="F4" s="23" t="s">
        <v>264</v>
      </c>
      <c r="G4" s="77"/>
      <c r="H4" s="23" t="s">
        <v>266</v>
      </c>
      <c r="I4" s="23" t="s">
        <v>264</v>
      </c>
    </row>
    <row r="5" customFormat="false" ht="25.5" hidden="false" customHeight="true" outlineLevel="0" collapsed="false">
      <c r="B5" s="78" t="s">
        <v>84</v>
      </c>
      <c r="C5" s="79" t="n">
        <f aca="false">IF(NOT(ISNUMBER('경기 정보'!C4)),"",'경기 정보'!C4)</f>
        <v>46318</v>
      </c>
      <c r="D5" s="77"/>
      <c r="E5" s="77" t="s">
        <v>267</v>
      </c>
      <c r="F5" s="77" t="n">
        <f aca="false">IF('타자 기록'!AB17=0,"",'타자 기록'!AB17)</f>
        <v>32</v>
      </c>
      <c r="G5" s="77"/>
      <c r="H5" s="78" t="s">
        <v>268</v>
      </c>
      <c r="I5" s="77" t="n">
        <f aca="false">IF(COUNTA('투수 기록'!A2:A11)=0,"",'투수 기록'!C12)</f>
        <v>21</v>
      </c>
    </row>
    <row r="6" customFormat="false" ht="25.5" hidden="false" customHeight="true" outlineLevel="0" collapsed="false">
      <c r="B6" s="78" t="s">
        <v>86</v>
      </c>
      <c r="C6" s="77" t="str">
        <f aca="false">IF('경기 정보'!C5="","",'경기 정보'!C5)</f>
        <v>테스트팀</v>
      </c>
      <c r="D6" s="77"/>
      <c r="E6" s="77" t="s">
        <v>269</v>
      </c>
      <c r="F6" s="77" t="n">
        <f aca="false">IF('타자 기록'!AB17=0,"",'타자 기록'!M17)</f>
        <v>25</v>
      </c>
      <c r="G6" s="77"/>
      <c r="H6" s="78" t="s">
        <v>270</v>
      </c>
      <c r="I6" s="80" t="n">
        <f aca="false">IF(COUNTA('투수 기록'!A2:A11)=0,"",'투수 기록'!D12)</f>
        <v>7</v>
      </c>
    </row>
    <row r="7" customFormat="false" ht="25.5" hidden="false" customHeight="true" outlineLevel="0" collapsed="false">
      <c r="B7" s="78" t="s">
        <v>271</v>
      </c>
      <c r="C7" s="77" t="str">
        <f aca="false">IF('경기 정보'!C6="","",'경기 정보'!C6)</f>
        <v>원정</v>
      </c>
      <c r="D7" s="77"/>
      <c r="E7" s="77" t="s">
        <v>272</v>
      </c>
      <c r="F7" s="77" t="n">
        <f aca="false">IF('타자 기록'!AB17=0,"",'타자 기록'!N17)</f>
        <v>10</v>
      </c>
      <c r="G7" s="77"/>
      <c r="H7" s="78" t="s">
        <v>273</v>
      </c>
      <c r="I7" s="77" t="str">
        <f aca="false">IF(COUNTA('투수 기록'!A2:A11)=0,"",'투수 기록'!R12)</f>
        <v>7.0</v>
      </c>
    </row>
    <row r="8" customFormat="false" ht="25.5" hidden="false" customHeight="true" outlineLevel="0" collapsed="false">
      <c r="B8" s="78" t="s">
        <v>94</v>
      </c>
      <c r="C8" s="77" t="n">
        <f aca="false">IF(NOT(ISNUMBER('경기 정보'!C8)),"",'경기 정보'!C8)</f>
        <v>4</v>
      </c>
      <c r="D8" s="77"/>
      <c r="E8" s="77" t="s">
        <v>274</v>
      </c>
      <c r="F8" s="81" t="n">
        <f aca="false">IF('타자 기록'!AB17=0,"",'타자 기록'!U17)</f>
        <v>0.4</v>
      </c>
      <c r="G8" s="77"/>
      <c r="H8" s="77" t="s">
        <v>173</v>
      </c>
      <c r="I8" s="80" t="n">
        <f aca="false">IF(COUNTA('투수 기록'!A2:A11)=0,"",'투수 기록'!M12)</f>
        <v>0.714285714285714</v>
      </c>
    </row>
    <row r="9" customFormat="false" ht="25.5" hidden="false" customHeight="true" outlineLevel="0" collapsed="false">
      <c r="B9" s="78" t="s">
        <v>96</v>
      </c>
      <c r="C9" s="77" t="n">
        <f aca="false">IF(NOT(ISNUMBER('경기 정보'!C9)),"",'경기 정보'!C9)</f>
        <v>2</v>
      </c>
      <c r="D9" s="77"/>
      <c r="E9" s="77" t="s">
        <v>275</v>
      </c>
      <c r="F9" s="81" t="n">
        <f aca="false">IF('타자 기록'!AB17=0,"",'타자 기록'!AF17)</f>
        <v>0.466666666666667</v>
      </c>
      <c r="G9" s="77"/>
      <c r="H9" s="77" t="s">
        <v>174</v>
      </c>
      <c r="I9" s="80" t="n">
        <f aca="false">IF(COUNTA('투수 기록'!A2:A11)=0,"",'투수 기록'!N12)</f>
        <v>1</v>
      </c>
    </row>
    <row r="10" customFormat="false" ht="25.5" hidden="false" customHeight="true" outlineLevel="0" collapsed="false">
      <c r="B10" s="78" t="s">
        <v>276</v>
      </c>
      <c r="C10" s="79" t="n">
        <f aca="false">IF(NOT(ISNUMBER('경기 정보'!C23)),"",'경기 정보'!C23)</f>
        <v>46321</v>
      </c>
      <c r="D10" s="77"/>
      <c r="E10" s="77" t="s">
        <v>277</v>
      </c>
      <c r="F10" s="81" t="n">
        <f aca="false">IF('타자 기록'!AB17=0,"",'타자 기록'!AG17)</f>
        <v>0.68</v>
      </c>
      <c r="G10" s="77"/>
      <c r="H10" s="77" t="s">
        <v>175</v>
      </c>
      <c r="I10" s="80" t="n">
        <f aca="false">IF(COUNTA('투수 기록'!A2:A11)=0,"",'투수 기록'!O12)</f>
        <v>3.33333333333333</v>
      </c>
    </row>
    <row r="11" customFormat="false" ht="25.5" hidden="false" customHeight="true" outlineLevel="0" collapsed="false">
      <c r="B11" s="77"/>
      <c r="C11" s="77"/>
      <c r="D11" s="77"/>
      <c r="E11" s="77" t="s">
        <v>136</v>
      </c>
      <c r="F11" s="81" t="n">
        <f aca="false">IF('타자 기록'!AB17=0,"",'타자 기록'!AH17)</f>
        <v>1.14666666666667</v>
      </c>
      <c r="G11" s="77"/>
      <c r="H11" s="77" t="s">
        <v>176</v>
      </c>
      <c r="I11" s="80" t="n">
        <f aca="false">IF(COUNTA('투수 기록'!A2:A11)=0,"",'투수 기록'!P12)</f>
        <v>12.8571428571429</v>
      </c>
    </row>
    <row r="12" customFormat="false" ht="25.5" hidden="false" customHeight="true" outlineLevel="0" collapsed="false">
      <c r="B12" s="78" t="s">
        <v>278</v>
      </c>
      <c r="C12" s="77" t="str">
        <f aca="false">IF(OR(NOT(ISNUMBER('경기 정보'!C8)),NOT(ISNUMBER('경기 정보'!C9))),"입력 대기",IF('경기 정보'!C8&gt;'경기 정보'!C9,"승",IF('경기 정보'!C8&lt;'경기 정보'!C9,"패","무승부")))</f>
        <v>승</v>
      </c>
      <c r="D12" s="77"/>
      <c r="E12" s="77" t="s">
        <v>138</v>
      </c>
      <c r="F12" s="82" t="n">
        <f aca="false">IF('타자 기록'!AB17=0,"",'타자 기록'!AN17)</f>
        <v>0.09375</v>
      </c>
      <c r="G12" s="77"/>
      <c r="H12" s="77" t="s">
        <v>177</v>
      </c>
      <c r="I12" s="80" t="n">
        <f aca="false">IF(COUNTA('투수 기록'!A2:A11)=0,"",'투수 기록'!Q12)</f>
        <v>3.85714285714286</v>
      </c>
    </row>
    <row r="13" customFormat="false" ht="25.5" hidden="false" customHeight="true" outlineLevel="0" collapsed="false">
      <c r="B13" s="77"/>
      <c r="C13" s="77"/>
      <c r="D13" s="77"/>
      <c r="E13" s="77" t="s">
        <v>139</v>
      </c>
      <c r="F13" s="82" t="n">
        <f aca="false">IF('타자 기록'!AB17=0,"",'타자 기록'!AO17)</f>
        <v>0.15625</v>
      </c>
      <c r="G13" s="77"/>
      <c r="H13" s="77"/>
      <c r="I13" s="77"/>
    </row>
    <row r="14" customFormat="false" ht="25.5" hidden="false" customHeight="true" outlineLevel="0" collapsed="false">
      <c r="B14" s="77"/>
      <c r="C14" s="77"/>
      <c r="D14" s="77"/>
      <c r="E14" s="77"/>
      <c r="F14" s="77"/>
      <c r="G14" s="77"/>
      <c r="H14" s="77"/>
      <c r="I14" s="77"/>
    </row>
    <row r="15" customFormat="false" ht="25.5" hidden="false" customHeight="true" outlineLevel="0" collapsed="false">
      <c r="B15" s="78" t="s">
        <v>279</v>
      </c>
      <c r="C15" s="77"/>
      <c r="D15" s="77"/>
      <c r="E15" s="77"/>
      <c r="F15" s="77"/>
      <c r="G15" s="77"/>
      <c r="H15" s="77"/>
      <c r="I15" s="77"/>
    </row>
    <row r="16" customFormat="false" ht="30" hidden="false" customHeight="true" outlineLevel="0" collapsed="false">
      <c r="B16" s="23" t="s">
        <v>165</v>
      </c>
      <c r="C16" s="23" t="s">
        <v>280</v>
      </c>
      <c r="D16" s="77"/>
      <c r="E16" s="78" t="s">
        <v>281</v>
      </c>
      <c r="F16" s="77"/>
      <c r="G16" s="77"/>
      <c r="H16" s="77"/>
      <c r="I16" s="77"/>
    </row>
    <row r="17" customFormat="false" ht="25.5" hidden="false" customHeight="true" outlineLevel="0" collapsed="false">
      <c r="B17" s="78" t="s">
        <v>137</v>
      </c>
      <c r="C17" s="77" t="n">
        <f aca="false">IF('타자 기록'!AB17=0,"",'타자 기록'!AM17)</f>
        <v>6</v>
      </c>
      <c r="D17" s="77"/>
      <c r="E17" s="77"/>
      <c r="F17" s="77"/>
      <c r="G17" s="77"/>
      <c r="H17" s="77"/>
      <c r="I17" s="77"/>
    </row>
    <row r="18" customFormat="false" ht="25.5" hidden="false" customHeight="true" outlineLevel="0" collapsed="false">
      <c r="B18" s="77" t="s">
        <v>282</v>
      </c>
      <c r="C18" s="77" t="n">
        <f aca="false">IF('타자 기록'!AB17=0,"",'타자 기록'!O17)</f>
        <v>2</v>
      </c>
      <c r="D18" s="77"/>
      <c r="E18" s="78" t="s">
        <v>283</v>
      </c>
      <c r="F18" s="83"/>
      <c r="G18" s="83"/>
      <c r="H18" s="83"/>
      <c r="I18" s="83"/>
    </row>
    <row r="19" customFormat="false" ht="25.5" hidden="false" customHeight="true" outlineLevel="0" collapsed="false">
      <c r="B19" s="77" t="s">
        <v>284</v>
      </c>
      <c r="C19" s="77" t="n">
        <f aca="false">IF('타자 기록'!AB17=0,"",'타자 기록'!P17)</f>
        <v>1</v>
      </c>
      <c r="D19" s="77"/>
      <c r="E19" s="77"/>
      <c r="F19" s="83"/>
      <c r="G19" s="83"/>
      <c r="H19" s="83"/>
      <c r="I19" s="83"/>
    </row>
    <row r="20" customFormat="false" ht="25.5" hidden="false" customHeight="true" outlineLevel="0" collapsed="false">
      <c r="B20" s="78" t="s">
        <v>23</v>
      </c>
      <c r="C20" s="77" t="n">
        <f aca="false">IF('타자 기록'!AB17=0,"",'타자 기록'!Q17)</f>
        <v>1</v>
      </c>
      <c r="D20" s="77"/>
      <c r="E20" s="77"/>
      <c r="F20" s="77"/>
      <c r="G20" s="77"/>
      <c r="H20" s="77"/>
      <c r="I20" s="77"/>
    </row>
    <row r="21" customFormat="false" ht="25.5" hidden="false" customHeight="true" outlineLevel="0" collapsed="false">
      <c r="B21" s="78" t="s">
        <v>45</v>
      </c>
      <c r="C21" s="77" t="n">
        <f aca="false">IF('타자 기록'!AB17=0,"",'타자 기록'!R17)</f>
        <v>3</v>
      </c>
      <c r="D21" s="77"/>
      <c r="E21" s="78" t="s">
        <v>285</v>
      </c>
      <c r="F21" s="83"/>
      <c r="G21" s="83"/>
      <c r="H21" s="83"/>
      <c r="I21" s="83"/>
    </row>
    <row r="22" customFormat="false" ht="25.5" hidden="false" customHeight="true" outlineLevel="0" collapsed="false">
      <c r="B22" s="78" t="s">
        <v>47</v>
      </c>
      <c r="C22" s="77" t="n">
        <f aca="false">IF('타자 기록'!AB17=0,"",'타자 기록'!S17)</f>
        <v>1</v>
      </c>
      <c r="D22" s="77"/>
      <c r="E22" s="77"/>
      <c r="F22" s="83"/>
      <c r="G22" s="83"/>
      <c r="H22" s="83"/>
      <c r="I22" s="83"/>
    </row>
    <row r="23" customFormat="false" ht="25.5" hidden="false" customHeight="true" outlineLevel="0" collapsed="false">
      <c r="B23" s="78" t="s">
        <v>25</v>
      </c>
      <c r="C23" s="77" t="n">
        <f aca="false">IF('타자 기록'!AB17=0,"",'타자 기록'!T17)</f>
        <v>5</v>
      </c>
      <c r="D23" s="77"/>
      <c r="E23" s="77"/>
      <c r="F23" s="77"/>
      <c r="G23" s="77"/>
      <c r="H23" s="77"/>
      <c r="I23" s="77"/>
    </row>
    <row r="24" customFormat="false" ht="25.5" hidden="false" customHeight="true" outlineLevel="0" collapsed="false">
      <c r="B24" s="77"/>
      <c r="C24" s="77"/>
      <c r="D24" s="77"/>
      <c r="E24" s="78" t="s">
        <v>286</v>
      </c>
      <c r="F24" s="83"/>
      <c r="G24" s="83"/>
      <c r="H24" s="83"/>
      <c r="I24" s="83"/>
    </row>
    <row r="25" customFormat="false" ht="25.5" hidden="false" customHeight="true" outlineLevel="0" collapsed="false">
      <c r="B25" s="77"/>
      <c r="C25" s="77"/>
      <c r="D25" s="77"/>
      <c r="E25" s="77"/>
      <c r="F25" s="83"/>
      <c r="G25" s="83"/>
      <c r="H25" s="83"/>
      <c r="I25" s="83"/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F18:I19"/>
    <mergeCell ref="F21:I22"/>
    <mergeCell ref="F24:I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2026-10-23T06:33:27Z</dcterms:created>
  <dc:creator>openpyxl</dc:creator>
  <dc:description/>
  <dc:language>en-US</dc:language>
  <cp:lastModifiedBy/>
  <dcterms:modified xsi:type="dcterms:W3CDTF">2026-10-23T06:33:27Z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