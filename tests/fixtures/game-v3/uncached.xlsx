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기록 방법" sheetId="1" state="visible" r:id="rId1"/>
    <sheet xmlns:r="http://schemas.openxmlformats.org/officeDocument/2006/relationships" name="경기 정보" sheetId="2" state="visible" r:id="rId2"/>
    <sheet xmlns:r="http://schemas.openxmlformats.org/officeDocument/2006/relationships" name="타자 기록" sheetId="3" state="visible" r:id="rId3"/>
    <sheet xmlns:r="http://schemas.openxmlformats.org/officeDocument/2006/relationships" name="투수 기록" sheetId="4" state="visible" r:id="rId4"/>
    <sheet xmlns:r="http://schemas.openxmlformats.org/officeDocument/2006/relationships" name="주요 기록" sheetId="5" state="visible" r:id="rId5"/>
    <sheet xmlns:r="http://schemas.openxmlformats.org/officeDocument/2006/relationships" name="검수" sheetId="6" state="visible" r:id="rId6"/>
    <sheet xmlns:r="http://schemas.openxmlformats.org/officeDocument/2006/relationships" name="경기 요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0.0%"/>
    <numFmt numFmtId="167" formatCode="0;[Red](0);0"/>
  </numFmts>
  <fonts count="25">
    <font>
      <name val="Calibri"/>
      <color theme="1"/>
      <sz val="11"/>
      <scheme val="minor"/>
    </font>
    <font>
      <name val="Noto Sans KR"/>
      <b val="1"/>
      <color rgb="FF141B3D"/>
      <sz val="11"/>
    </font>
    <font>
      <name val="Noto Sans KR"/>
      <b val="1"/>
      <color rgb="FFFFFFFF"/>
      <sz val="11"/>
    </font>
    <font>
      <name val="Noto Sans KR"/>
      <color rgb="FF64748B"/>
      <sz val="11"/>
    </font>
    <font>
      <name val="Noto Sans KR"/>
      <color theme="1"/>
      <sz val="11"/>
    </font>
    <font>
      <name val="Noto Sans KR"/>
      <color rgb="FF0000FF"/>
      <sz val="11"/>
    </font>
    <font>
      <name val="Noto Sans KR"/>
      <b val="1"/>
      <color rgb="FFDC2626"/>
      <sz val="11"/>
    </font>
    <font>
      <name val="Noto Sans KR"/>
      <color rgb="FF000000"/>
      <sz val="11"/>
    </font>
    <font>
      <name val="Noto Sans KR"/>
      <color rgb="FF475569"/>
      <sz val="11"/>
    </font>
    <font>
      <name val="Calibri"/>
      <color theme="1"/>
      <sz val="11"/>
    </font>
    <font>
      <name val="Calibri"/>
      <color theme="1"/>
      <scheme val="minor"/>
    </font>
    <font>
      <name val="Calibri"/>
      <color rgb="FF0000FF"/>
      <sz val="11"/>
    </font>
    <font>
      <name val="Noto Sans KR"/>
      <color rgb="FF008000"/>
      <sz val="11"/>
    </font>
    <font>
      <name val="Calibri"/>
      <color rgb="FF000000"/>
      <sz val="11"/>
    </font>
    <font>
      <name val="Noto Sans KR"/>
      <color rgb="FF141B3D"/>
      <sz val="11"/>
    </font>
    <font>
      <name val="Noto Sans KR"/>
      <b val="1"/>
      <color theme="1"/>
      <sz val="11"/>
    </font>
    <font>
      <name val="Noto Sans KR"/>
      <b val="1"/>
      <color rgb="FF000000"/>
      <sz val="11"/>
    </font>
    <font>
      <name val="Calibri"/>
      <color rgb="FF17243B"/>
      <sz val="11"/>
    </font>
    <font>
      <name val="Noto Sans KR"/>
      <b val="1"/>
      <color rgb="FF008000"/>
      <sz val="11"/>
    </font>
    <font>
      <name val="Noto Sans KR"/>
      <b val="1"/>
      <color rgb="FF17243B"/>
      <sz val="16"/>
    </font>
    <font>
      <name val="Noto Sans KR"/>
      <color rgb="FF17243B"/>
      <sz val="11"/>
    </font>
    <font>
      <name val="Calibri"/>
      <b val="1"/>
      <color rgb="FF000000"/>
      <sz val="11"/>
    </font>
    <font>
      <name val="Calibri"/>
      <color rgb="FF008000"/>
      <sz val="11"/>
    </font>
    <font/>
    <font>
      <name val="Calibri"/>
      <b val="1"/>
      <color theme="1"/>
      <sz val="11"/>
    </font>
  </fonts>
  <fills count="8">
    <fill>
      <patternFill/>
    </fill>
    <fill>
      <patternFill patternType="lightGray"/>
    </fill>
    <fill>
      <patternFill patternType="solid">
        <fgColor rgb="FF17243B"/>
        <bgColor rgb="FF17243B"/>
      </patternFill>
    </fill>
    <fill>
      <patternFill patternType="solid">
        <fgColor rgb="FFF1F5F9"/>
        <bgColor rgb="FFF1F5F9"/>
      </patternFill>
    </fill>
    <fill>
      <patternFill patternType="solid">
        <fgColor rgb="FFFFF4CD"/>
        <bgColor rgb="FFFFF4CD"/>
      </patternFill>
    </fill>
    <fill>
      <patternFill patternType="solid">
        <fgColor rgb="FF141B3D"/>
        <bgColor rgb="FF141B3D"/>
      </patternFill>
    </fill>
    <fill>
      <patternFill patternType="solid">
        <fgColor rgb="FFEDF1F6"/>
        <bgColor rgb="FFEDF1F6"/>
      </patternFill>
    </fill>
    <fill>
      <patternFill patternType="solid">
        <fgColor rgb="FFEDF2F7"/>
        <bgColor rgb="FFEDF2F7"/>
      </patternFill>
    </fill>
  </fills>
  <borders count="11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7243B"/>
      </bottom>
    </border>
    <border>
      <bottom style="double">
        <color rgb="FF17243B"/>
      </bottom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4" borderId="2" pivotButton="0" quotePrefix="0" xfId="0"/>
    <xf numFmtId="2" fontId="12" fillId="6" borderId="1" applyAlignment="1" pivotButton="0" quotePrefix="0" xfId="0">
      <alignment horizontal="center" vertical="center"/>
    </xf>
    <xf numFmtId="0" fontId="13" fillId="0" borderId="0" pivotButton="0" quotePrefix="0" xfId="0"/>
    <xf numFmtId="164" fontId="11" fillId="4" borderId="2" pivotButton="0" quotePrefix="0" xfId="0"/>
    <xf numFmtId="2" fontId="13" fillId="6" borderId="2" pivotButton="0" quotePrefix="0" xfId="0"/>
    <xf numFmtId="0" fontId="7" fillId="6" borderId="1" applyAlignment="1" pivotButton="0" quotePrefix="0" xfId="0">
      <alignment horizontal="center" vertical="center"/>
    </xf>
    <xf numFmtId="164" fontId="13" fillId="0" borderId="0" pivotButton="0" quotePrefix="0" xfId="0"/>
    <xf numFmtId="0" fontId="11" fillId="4" borderId="2" pivotButton="0" quotePrefix="0" xfId="0"/>
    <xf numFmtId="0" fontId="3" fillId="0" borderId="1" applyAlignment="1" pivotButton="0" quotePrefix="0" xfId="0">
      <alignment horizontal="left" vertical="center" wrapText="1"/>
    </xf>
    <xf numFmtId="0" fontId="13" fillId="6" borderId="2" pivotButton="0" quotePrefix="0" xfId="0"/>
    <xf numFmtId="165" fontId="7" fillId="6" borderId="1" applyAlignment="1" pivotButton="0" quotePrefix="0" xfId="0">
      <alignment horizontal="center" vertical="center"/>
    </xf>
    <xf numFmtId="165" fontId="13" fillId="6" borderId="2" pivotButton="0" quotePrefix="0" xfId="0"/>
    <xf numFmtId="166" fontId="13" fillId="6" borderId="2" pivotButton="0" quotePrefix="0" xfId="0"/>
    <xf numFmtId="0" fontId="1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2" fontId="16" fillId="6" borderId="1" applyAlignment="1" pivotButton="0" quotePrefix="0" xfId="0">
      <alignment horizontal="center" vertical="center"/>
    </xf>
    <xf numFmtId="0" fontId="17" fillId="0" borderId="0" pivotButton="0" quotePrefix="0" xfId="0"/>
    <xf numFmtId="2" fontId="18" fillId="6" borderId="1" applyAlignment="1" pivotButton="0" quotePrefix="0" xfId="0">
      <alignment horizontal="center" vertical="center"/>
    </xf>
    <xf numFmtId="0" fontId="19" fillId="0" borderId="0" pivotButton="0" quotePrefix="0" xfId="0"/>
    <xf numFmtId="0" fontId="4" fillId="0" borderId="0" pivotButton="0" quotePrefix="0" xfId="0"/>
    <xf numFmtId="167" fontId="17" fillId="0" borderId="0" pivotButton="0" quotePrefix="0" xfId="0"/>
    <xf numFmtId="0" fontId="20" fillId="0" borderId="0" pivotButton="0" quotePrefix="0" xfId="0"/>
    <xf numFmtId="2" fontId="21" fillId="6" borderId="2" pivotButton="0" quotePrefix="0" xfId="0"/>
    <xf numFmtId="0" fontId="13" fillId="0" borderId="0" applyAlignment="1" pivotButton="0" quotePrefix="0" xfId="0">
      <alignment horizontal="center"/>
    </xf>
    <xf numFmtId="164" fontId="20" fillId="0" borderId="0" pivotButton="0" quotePrefix="0" xfId="0"/>
    <xf numFmtId="0" fontId="22" fillId="0" borderId="0" applyAlignment="1" pivotButton="0" quotePrefix="0" xfId="0">
      <alignment horizontal="center"/>
    </xf>
    <xf numFmtId="2" fontId="20" fillId="0" borderId="0" pivotButton="0" quotePrefix="0" xfId="0"/>
    <xf numFmtId="0" fontId="21" fillId="6" borderId="2" pivotButton="0" quotePrefix="0" xfId="0"/>
    <xf numFmtId="165" fontId="20" fillId="0" borderId="0" pivotButton="0" quotePrefix="0" xfId="0"/>
    <xf numFmtId="166" fontId="20" fillId="0" borderId="0" pivotButton="0" quotePrefix="0" xfId="0"/>
    <xf numFmtId="0" fontId="5" fillId="4" borderId="3" applyAlignment="1" pivotButton="0" quotePrefix="0" xfId="0">
      <alignment wrapText="1"/>
    </xf>
    <xf numFmtId="0" fontId="23" fillId="0" borderId="4" pivotButton="0" quotePrefix="0" xfId="0"/>
    <xf numFmtId="0" fontId="23" fillId="0" borderId="5" pivotButton="0" quotePrefix="0" xfId="0"/>
    <xf numFmtId="0" fontId="23" fillId="0" borderId="6" pivotButton="0" quotePrefix="0" xfId="0"/>
    <xf numFmtId="0" fontId="23" fillId="0" borderId="7" pivotButton="0" quotePrefix="0" xfId="0"/>
    <xf numFmtId="0" fontId="23" fillId="0" borderId="8" pivotButton="0" quotePrefix="0" xfId="0"/>
    <xf numFmtId="0" fontId="15" fillId="0" borderId="9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165" fontId="16" fillId="3" borderId="9" applyAlignment="1" pivotButton="0" quotePrefix="0" xfId="0">
      <alignment horizontal="center" vertical="center"/>
    </xf>
    <xf numFmtId="0" fontId="24" fillId="0" borderId="10" pivotButton="0" quotePrefix="0" xfId="0"/>
    <xf numFmtId="0" fontId="21" fillId="0" borderId="10" pivotButton="0" quotePrefix="0" xfId="0"/>
    <xf numFmtId="165" fontId="21" fillId="0" borderId="10" pivotButton="0" quotePrefix="0" xfId="0"/>
    <xf numFmtId="166" fontId="21" fillId="0" borderId="10" pivotButton="0" quotePrefix="0" xfId="0"/>
    <xf numFmtId="0" fontId="0" fillId="0" borderId="0" pivotButton="0" quotePrefix="0" xfId="0"/>
    <xf numFmtId="0" fontId="5" fillId="4" borderId="2" applyAlignment="1" pivotButton="0" quotePrefix="0" xfId="0">
      <alignment wrapText="1"/>
    </xf>
  </cellXfs>
  <cellStyles count="1">
    <cellStyle name="Normal" xfId="0" builtinId="0"/>
  </cellStyles>
  <dxfs count="4">
    <dxf>
      <font>
        <name val="Arial"/>
        <b val="1"/>
        <color rgb="FF991B1B"/>
        <sz val="10"/>
      </font>
      <fill>
        <patternFill patternType="solid">
          <fgColor rgb="FFFECACA"/>
          <bgColor rgb="FFFECACA"/>
        </patternFill>
      </fill>
      <border/>
    </dxf>
    <dxf>
      <font>
        <name val="Arial"/>
        <b val="1"/>
        <color rgb="FF065F46"/>
        <sz val="10"/>
      </font>
      <fill>
        <patternFill patternType="solid">
          <fgColor rgb="FFD1FAE5"/>
          <bgColor rgb="FFD1FAE5"/>
        </patternFill>
      </fill>
      <border/>
    </dxf>
    <dxf>
      <font>
        <b val="1"/>
        <color rgb="FFB91C36"/>
      </font>
      <fill>
        <patternFill patternType="solid">
          <fgColor rgb="FFFDE3E5"/>
          <bgColor rgb="FFFDE3E5"/>
        </patternFill>
      </fill>
      <border/>
    </dxf>
    <dxf>
      <font>
        <b val="1"/>
        <color rgb="FF9A6700"/>
      </font>
      <fill>
        <patternFill patternType="solid">
          <fgColor rgb="FFFFF4CD"/>
          <bgColor rgb="FFFFF4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243B"/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70" min="1" max="1"/>
    <col width="14" customWidth="1" style="70" min="2" max="2"/>
    <col width="26" customWidth="1" style="70" min="3" max="3"/>
    <col width="12" customWidth="1" style="70" min="4" max="4"/>
    <col width="18" customWidth="1" style="70" min="5" max="7"/>
    <col width="8.710000000000001" customWidth="1" style="70" min="8" max="10"/>
    <col width="14.43" customWidth="1" style="70" min="11" max="11"/>
    <col width="8.710000000000001" customWidth="1" style="70" min="12" max="26"/>
  </cols>
  <sheetData>
    <row r="1" ht="21.75" customHeight="1" s="70">
      <c r="B1" s="1" t="inlineStr">
        <is>
          <t>Utah Devils 경기 기록 v3.0</t>
        </is>
      </c>
      <c r="H1" s="4" t="n"/>
      <c r="I1" s="4" t="n"/>
      <c r="J1" s="4" t="n"/>
      <c r="K1" s="4" t="n"/>
    </row>
    <row r="2">
      <c r="B2" s="3" t="inlineStr">
        <is>
          <t>노란 칸·파란 글씨: 입력 / 회색·검정 글씨: 계산 / 초록 글씨: 다른 시트 참조</t>
        </is>
      </c>
      <c r="H2" s="4" t="n"/>
      <c r="I2" s="4" t="n"/>
      <c r="J2" s="4" t="n"/>
      <c r="K2" s="4" t="n"/>
    </row>
    <row r="3"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B4" s="1" t="inlineStr">
        <is>
          <t>1. 작성 순서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31.5" customHeight="1" s="70">
      <c r="B5" s="7" t="inlineStr">
        <is>
          <t>1. 경기 정보 입력 → 타자·투수 기록 입력 → 주요 기록 메모</t>
        </is>
      </c>
      <c r="F5" s="8" t="n"/>
      <c r="G5" s="8" t="n"/>
      <c r="H5" s="4" t="n"/>
      <c r="I5" s="4" t="n"/>
      <c r="J5" s="4" t="n"/>
      <c r="K5" s="4" t="n"/>
    </row>
    <row r="6" ht="31.5" customHeight="1" s="70">
      <c r="B6" s="7" t="inlineStr">
        <is>
          <t>2. 7–12타석은 타자 기록 V:AA열에 추가 입력</t>
        </is>
      </c>
      <c r="F6" s="8" t="n"/>
      <c r="G6" s="8" t="n"/>
      <c r="H6" s="4" t="n"/>
      <c r="I6" s="4" t="n"/>
      <c r="J6" s="4" t="n"/>
      <c r="K6" s="4" t="n"/>
    </row>
    <row r="7" ht="31.5" customHeight="1" s="70">
      <c r="B7" s="7" t="inlineStr">
        <is>
          <t>3. 경기 요약에서 팀 지표와 리뷰 확인</t>
        </is>
      </c>
      <c r="F7" s="8" t="n"/>
      <c r="G7" s="8" t="n"/>
      <c r="H7" s="4" t="n"/>
      <c r="I7" s="4" t="n"/>
      <c r="J7" s="4" t="n"/>
      <c r="K7" s="4" t="n"/>
    </row>
    <row r="8" ht="31.5" customHeight="1" s="70">
      <c r="B8" s="7" t="inlineStr">
        <is>
          <t>4. 검수에서 점수·아웃 대조, 입력 누락·판정 확인</t>
        </is>
      </c>
      <c r="F8" s="8" t="n"/>
      <c r="G8" s="8" t="n"/>
      <c r="H8" s="4" t="n"/>
      <c r="I8" s="4" t="n"/>
      <c r="J8" s="4" t="n"/>
      <c r="K8" s="4" t="n"/>
    </row>
    <row r="9" ht="31.5" customHeight="1" s="70">
      <c r="B9" s="7" t="inlineStr">
        <is>
          <t>5. 경기 정보에 검수자·완료일 입력 후 3일 이내 시스템 입력</t>
        </is>
      </c>
      <c r="F9" s="8" t="n"/>
      <c r="G9" s="8" t="n"/>
      <c r="H9" s="4" t="n"/>
      <c r="I9" s="4" t="n"/>
      <c r="J9" s="4" t="n"/>
      <c r="K9" s="4" t="n"/>
    </row>
    <row r="10" ht="15" customHeight="1" s="70">
      <c r="B10" s="13" t="n"/>
      <c r="F10" s="4" t="n"/>
      <c r="G10" s="4" t="n"/>
      <c r="H10" s="4" t="n"/>
      <c r="I10" s="4" t="n"/>
      <c r="J10" s="4" t="n"/>
      <c r="K10" s="4" t="n"/>
    </row>
    <row r="11"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1" t="inlineStr">
        <is>
          <t>2. 결과 표기 (기존 16개 + 추가 2개)</t>
        </is>
      </c>
      <c r="F12" s="4" t="n"/>
      <c r="G12" s="4" t="n"/>
      <c r="H12" s="4" t="n"/>
      <c r="I12" s="4" t="n"/>
      <c r="J12" s="4" t="n"/>
      <c r="K12" s="4" t="n"/>
    </row>
    <row r="13">
      <c r="B13" s="14" t="inlineStr">
        <is>
          <t>표기</t>
        </is>
      </c>
      <c r="C13" s="14" t="inlineStr">
        <is>
          <t>의미</t>
        </is>
      </c>
      <c r="D13" s="14" t="inlineStr">
        <is>
          <t>타수 포함</t>
        </is>
      </c>
      <c r="E13" s="4" t="n"/>
      <c r="F13" s="1" t="inlineStr">
        <is>
          <t>규칙</t>
        </is>
      </c>
      <c r="G13" s="4" t="n"/>
      <c r="H13" s="4" t="n"/>
      <c r="I13" s="4" t="n"/>
      <c r="J13" s="4" t="n"/>
      <c r="K13" s="4" t="n"/>
    </row>
    <row r="14" ht="15" customHeight="1" s="70">
      <c r="B14" s="16" t="inlineStr">
        <is>
          <t>안타</t>
        </is>
      </c>
      <c r="C14" s="18" t="inlineStr">
        <is>
          <t>1루타 (단타)</t>
        </is>
      </c>
      <c r="D14" s="19" t="inlineStr">
        <is>
          <t>포함</t>
        </is>
      </c>
      <c r="E14" s="4" t="n"/>
      <c r="F14" s="11" t="inlineStr">
        <is>
          <t>한 타석 = 한 칸, 한 칸 = 표기 1개.</t>
        </is>
      </c>
      <c r="H14" s="4" t="n"/>
      <c r="I14" s="4" t="n"/>
      <c r="J14" s="4" t="n"/>
      <c r="K14" s="4" t="n"/>
    </row>
    <row r="15" ht="15" customHeight="1" s="70">
      <c r="B15" s="16" t="inlineStr">
        <is>
          <t>2루타</t>
        </is>
      </c>
      <c r="C15" s="18" t="inlineStr">
        <is>
          <t>2루타</t>
        </is>
      </c>
      <c r="D15" s="19" t="inlineStr">
        <is>
          <t>포함</t>
        </is>
      </c>
      <c r="E15" s="4" t="n"/>
      <c r="F15" s="11" t="inlineStr">
        <is>
          <t>"중전 안타", "우익수 앞" 처럼 방향을</t>
        </is>
      </c>
      <c r="H15" s="4" t="n"/>
      <c r="I15" s="4" t="n"/>
      <c r="J15" s="4" t="n"/>
      <c r="K15" s="4" t="n"/>
    </row>
    <row r="16" ht="15" customHeight="1" s="70">
      <c r="B16" s="16" t="inlineStr">
        <is>
          <t>3루타</t>
        </is>
      </c>
      <c r="C16" s="18" t="inlineStr">
        <is>
          <t>3루타</t>
        </is>
      </c>
      <c r="D16" s="19" t="inlineStr">
        <is>
          <t>포함</t>
        </is>
      </c>
      <c r="E16" s="4" t="n"/>
      <c r="F16" s="11" t="inlineStr">
        <is>
          <t>덧붙이지 않는다. 목록의 표기 그대로만.</t>
        </is>
      </c>
      <c r="H16" s="4" t="n"/>
      <c r="I16" s="4" t="n"/>
      <c r="J16" s="4" t="n"/>
      <c r="K16" s="4" t="n"/>
    </row>
    <row r="17" ht="15" customHeight="1" s="70">
      <c r="B17" s="16" t="inlineStr">
        <is>
          <t>홈런</t>
        </is>
      </c>
      <c r="C17" s="18" t="inlineStr">
        <is>
          <t>홈런</t>
        </is>
      </c>
      <c r="D17" s="19" t="inlineStr">
        <is>
          <t>포함</t>
        </is>
      </c>
      <c r="E17" s="4" t="n"/>
      <c r="F17" s="11" t="inlineStr">
        <is>
          <t>타점·득점·도루는 표기에 붙이지 않고</t>
        </is>
      </c>
      <c r="H17" s="4" t="n"/>
      <c r="I17" s="4" t="n"/>
      <c r="J17" s="4" t="n"/>
      <c r="K17" s="4" t="n"/>
    </row>
    <row r="18" ht="15" customHeight="1" s="70">
      <c r="B18" s="16" t="inlineStr">
        <is>
          <t>삼진</t>
        </is>
      </c>
      <c r="C18" s="18" t="inlineStr">
        <is>
          <t>헛스윙 삼진</t>
        </is>
      </c>
      <c r="D18" s="19" t="inlineStr">
        <is>
          <t>포함</t>
        </is>
      </c>
      <c r="E18" s="4" t="n"/>
      <c r="F18" s="11" t="inlineStr">
        <is>
          <t>오른쪽 전용 칸에 경기 합계로 적는다.</t>
        </is>
      </c>
      <c r="H18" s="4" t="n"/>
      <c r="I18" s="4" t="n"/>
      <c r="J18" s="4" t="n"/>
      <c r="K18" s="4" t="n"/>
    </row>
    <row r="19" ht="15" customHeight="1" s="70">
      <c r="B19" s="16" t="inlineStr">
        <is>
          <t>루킹삼진</t>
        </is>
      </c>
      <c r="C19" s="18" t="inlineStr">
        <is>
          <t>루킹 삼진 (스탠딩)</t>
        </is>
      </c>
      <c r="D19" s="19" t="inlineStr">
        <is>
          <t>포함</t>
        </is>
      </c>
      <c r="E19" s="4" t="n"/>
      <c r="F19" s="11" t="inlineStr">
        <is>
          <t>타구 방향·메모는 [주요 기록]에만 적는다.</t>
        </is>
      </c>
      <c r="H19" s="4" t="n"/>
      <c r="I19" s="4" t="n"/>
      <c r="J19" s="4" t="n"/>
      <c r="K19" s="4" t="n"/>
    </row>
    <row r="20" ht="15" customHeight="1" s="70">
      <c r="B20" s="16" t="inlineStr">
        <is>
          <t>땅볼</t>
        </is>
      </c>
      <c r="C20" s="18" t="inlineStr">
        <is>
          <t>땅볼 아웃</t>
        </is>
      </c>
      <c r="D20" s="19" t="inlineStr">
        <is>
          <t>포함</t>
        </is>
      </c>
      <c r="E20" s="4" t="n"/>
      <c r="F20" s="11" t="inlineStr">
        <is>
          <t>노란 칸 = 사람이 입력</t>
        </is>
      </c>
      <c r="H20" s="4" t="n"/>
      <c r="I20" s="4" t="n"/>
      <c r="J20" s="4" t="n"/>
      <c r="K20" s="4" t="n"/>
    </row>
    <row r="21" ht="15" customHeight="1" s="70">
      <c r="B21" s="16" t="inlineStr">
        <is>
          <t>뜬공</t>
        </is>
      </c>
      <c r="C21" s="18" t="inlineStr">
        <is>
          <t>뜬공 아웃 (파울플라이 포함)</t>
        </is>
      </c>
      <c r="D21" s="19" t="inlineStr">
        <is>
          <t>포함</t>
        </is>
      </c>
      <c r="E21" s="4" t="n"/>
      <c r="F21" s="11" t="inlineStr">
        <is>
          <t>회색 칸 = 자동 계산 (건드리지 말 것)</t>
        </is>
      </c>
      <c r="H21" s="4" t="n"/>
      <c r="I21" s="4" t="n"/>
      <c r="J21" s="4" t="n"/>
      <c r="K21" s="4" t="n"/>
    </row>
    <row r="22" ht="15.75" customHeight="1" s="70">
      <c r="B22" s="16" t="inlineStr">
        <is>
          <t>직선타</t>
        </is>
      </c>
      <c r="C22" s="18" t="inlineStr">
        <is>
          <t>직선타 아웃</t>
        </is>
      </c>
      <c r="D22" s="19" t="inlineStr">
        <is>
          <t>포함</t>
        </is>
      </c>
      <c r="E22" s="4" t="n"/>
      <c r="F22" s="4" t="n"/>
      <c r="G22" s="4" t="n"/>
      <c r="H22" s="4" t="n"/>
      <c r="I22" s="4" t="n"/>
      <c r="J22" s="4" t="n"/>
      <c r="K22" s="4" t="n"/>
    </row>
    <row r="23" ht="15.75" customHeight="1" s="70">
      <c r="B23" s="16" t="inlineStr">
        <is>
          <t>병살</t>
        </is>
      </c>
      <c r="C23" s="18" t="inlineStr">
        <is>
          <t>병살타</t>
        </is>
      </c>
      <c r="D23" s="19" t="inlineStr">
        <is>
          <t>포함</t>
        </is>
      </c>
      <c r="E23" s="4" t="n"/>
      <c r="F23" s="4" t="n"/>
      <c r="G23" s="4" t="n"/>
      <c r="H23" s="4" t="n"/>
      <c r="I23" s="4" t="n"/>
      <c r="J23" s="4" t="n"/>
      <c r="K23" s="4" t="n"/>
    </row>
    <row r="24" ht="15.75" customHeight="1" s="70">
      <c r="B24" s="16" t="inlineStr">
        <is>
          <t>실책출루</t>
        </is>
      </c>
      <c r="C24" s="18" t="inlineStr">
        <is>
          <t>상대 실책으로 출루</t>
        </is>
      </c>
      <c r="D24" s="19" t="inlineStr">
        <is>
          <t>포함</t>
        </is>
      </c>
      <c r="E24" s="4" t="n"/>
      <c r="F24" s="4" t="n"/>
      <c r="G24" s="4" t="n"/>
      <c r="H24" s="4" t="n"/>
      <c r="I24" s="4" t="n"/>
      <c r="J24" s="4" t="n"/>
      <c r="K24" s="4" t="n"/>
    </row>
    <row r="25" ht="15.75" customHeight="1" s="70">
      <c r="B25" s="16" t="inlineStr">
        <is>
          <t>야수선택</t>
        </is>
      </c>
      <c r="C25" s="18" t="inlineStr">
        <is>
          <t>야수선택으로 출루</t>
        </is>
      </c>
      <c r="D25" s="19" t="inlineStr">
        <is>
          <t>포함</t>
        </is>
      </c>
      <c r="E25" s="4" t="n"/>
      <c r="F25" s="4" t="n"/>
      <c r="G25" s="4" t="n"/>
      <c r="H25" s="4" t="n"/>
      <c r="I25" s="4" t="n"/>
      <c r="J25" s="4" t="n"/>
      <c r="K25" s="4" t="n"/>
    </row>
    <row r="26" ht="15.75" customHeight="1" s="70">
      <c r="B26" s="16" t="inlineStr">
        <is>
          <t>볼넷</t>
        </is>
      </c>
      <c r="C26" s="18" t="inlineStr">
        <is>
          <t>볼넷</t>
        </is>
      </c>
      <c r="D26" s="19" t="inlineStr">
        <is>
          <t>제외</t>
        </is>
      </c>
      <c r="E26" s="4" t="n"/>
      <c r="F26" s="4" t="n"/>
      <c r="G26" s="4" t="n"/>
      <c r="H26" s="4" t="n"/>
      <c r="I26" s="4" t="n"/>
      <c r="J26" s="4" t="n"/>
      <c r="K26" s="4" t="n"/>
    </row>
    <row r="27" ht="15.75" customHeight="1" s="70">
      <c r="B27" s="16" t="inlineStr">
        <is>
          <t>사구</t>
        </is>
      </c>
      <c r="C27" s="18" t="inlineStr">
        <is>
          <t>몸에 맞는 공</t>
        </is>
      </c>
      <c r="D27" s="19" t="inlineStr">
        <is>
          <t>제외</t>
        </is>
      </c>
      <c r="E27" s="4" t="n"/>
      <c r="F27" s="4" t="n"/>
      <c r="G27" s="4" t="n"/>
      <c r="H27" s="4" t="n"/>
      <c r="I27" s="4" t="n"/>
      <c r="J27" s="4" t="n"/>
      <c r="K27" s="4" t="n"/>
    </row>
    <row r="28" ht="15.75" customHeight="1" s="70">
      <c r="B28" s="16" t="inlineStr">
        <is>
          <t>희생플라이</t>
        </is>
      </c>
      <c r="C28" s="18" t="inlineStr">
        <is>
          <t>희생플라이</t>
        </is>
      </c>
      <c r="D28" s="19" t="inlineStr">
        <is>
          <t>제외</t>
        </is>
      </c>
      <c r="E28" s="4" t="n"/>
      <c r="F28" s="4" t="n"/>
      <c r="G28" s="4" t="n"/>
      <c r="H28" s="4" t="n"/>
      <c r="I28" s="4" t="n"/>
      <c r="J28" s="4" t="n"/>
      <c r="K28" s="4" t="n"/>
    </row>
    <row r="29" ht="15.75" customHeight="1" s="70">
      <c r="B29" s="16" t="inlineStr">
        <is>
          <t>희생번트</t>
        </is>
      </c>
      <c r="C29" s="18" t="inlineStr">
        <is>
          <t>희생번트</t>
        </is>
      </c>
      <c r="D29" s="19" t="inlineStr">
        <is>
          <t>제외</t>
        </is>
      </c>
      <c r="E29" s="4" t="n"/>
      <c r="F29" s="4" t="n"/>
      <c r="G29" s="4" t="n"/>
      <c r="H29" s="4" t="n"/>
      <c r="I29" s="4" t="n"/>
      <c r="J29" s="4" t="n"/>
      <c r="K29" s="4" t="n"/>
    </row>
    <row r="30" ht="15.75" customHeight="1" s="70"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15.75" customHeight="1" s="70">
      <c r="B31" s="1" t="inlineStr">
        <is>
          <t>3. 입력 예시 (실제 기록 시트에는 이 행을 넣지 마세요)</t>
        </is>
      </c>
      <c r="G31" s="4" t="n"/>
      <c r="H31" s="4" t="n"/>
      <c r="I31" s="4" t="n"/>
      <c r="J31" s="4" t="n"/>
      <c r="K31" s="4" t="n"/>
    </row>
    <row r="32" ht="15.75" customHeight="1" s="70">
      <c r="B32" s="14" t="inlineStr">
        <is>
          <t>타순</t>
        </is>
      </c>
      <c r="C32" s="14" t="inlineStr">
        <is>
          <t>이름</t>
        </is>
      </c>
      <c r="D32" s="14" t="inlineStr">
        <is>
          <t>포지션</t>
        </is>
      </c>
      <c r="E32" s="14" t="inlineStr">
        <is>
          <t>1타석</t>
        </is>
      </c>
      <c r="F32" s="14" t="inlineStr">
        <is>
          <t>2타석</t>
        </is>
      </c>
      <c r="G32" s="14" t="inlineStr">
        <is>
          <t>3타석</t>
        </is>
      </c>
      <c r="H32" s="14" t="inlineStr">
        <is>
          <t>4타석</t>
        </is>
      </c>
      <c r="I32" s="14" t="inlineStr">
        <is>
          <t>득점</t>
        </is>
      </c>
      <c r="J32" s="14" t="inlineStr">
        <is>
          <t>타점</t>
        </is>
      </c>
      <c r="K32" s="14" t="inlineStr">
        <is>
          <t>→ 자동계산 결과</t>
        </is>
      </c>
    </row>
    <row r="33" ht="64.5" customHeight="1" s="70">
      <c r="B33" s="19" t="n">
        <v>3</v>
      </c>
      <c r="C33" s="19" t="inlineStr">
        <is>
          <t>홍길동</t>
        </is>
      </c>
      <c r="D33" s="19" t="inlineStr">
        <is>
          <t>CF</t>
        </is>
      </c>
      <c r="E33" s="19" t="inlineStr">
        <is>
          <t>2루타</t>
        </is>
      </c>
      <c r="F33" s="19" t="inlineStr">
        <is>
          <t>볼넷</t>
        </is>
      </c>
      <c r="G33" s="19" t="inlineStr">
        <is>
          <t>삼진</t>
        </is>
      </c>
      <c r="H33" s="19" t="inlineStr">
        <is>
          <t>안타</t>
        </is>
      </c>
      <c r="I33" s="19" t="n">
        <v>2</v>
      </c>
      <c r="J33" s="19" t="n">
        <v>1</v>
      </c>
      <c r="K33" s="31" t="inlineStr">
        <is>
          <t>타수 3 · 안타 2 · 2루타 1 · 볼넷 1 · 삼진 1 · 타율 .667</t>
        </is>
      </c>
    </row>
    <row r="34" ht="15.75" customHeight="1" s="70"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15.75" customHeight="1" s="70">
      <c r="B35" s="1" t="inlineStr">
        <is>
          <t>4. 파일명 규칙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 ht="31.5" customHeight="1" s="70">
      <c r="B36" s="7" t="inlineStr">
        <is>
          <t>자동 계산: AVG·OBP·SLG·OPS / IP·ERA·WHIP·K/BB·K/9·BB/9</t>
        </is>
      </c>
      <c r="H36" s="4" t="n"/>
      <c r="I36" s="4" t="n"/>
      <c r="J36" s="4" t="n"/>
      <c r="K36" s="4" t="n"/>
    </row>
    <row r="37" ht="31.5" customHeight="1" s="70">
      <c r="B37" s="11" t="inlineStr">
        <is>
          <t>0으로 나눌 수 없는 지표는 n.a. 표시. 기록이 없는 0과 미입력 빈칸 구분.</t>
        </is>
      </c>
      <c r="H37" s="4" t="n"/>
      <c r="I37" s="4" t="n"/>
      <c r="J37" s="4" t="n"/>
      <c r="K37" s="4" t="n"/>
    </row>
    <row r="38" ht="15.75" customHeight="1" s="70"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15.75" customHeight="1" s="70">
      <c r="B39" s="1" t="inlineStr">
        <is>
          <t>5. 검수 기준 (수치 대조·입력 대기·플레이 판정 각각 확인)</t>
        </is>
      </c>
      <c r="H39" s="4" t="n"/>
      <c r="I39" s="4" t="n"/>
      <c r="J39" s="4" t="n"/>
      <c r="K39" s="4" t="n"/>
    </row>
    <row r="40" ht="31.5" customHeight="1" s="70">
      <c r="B40" s="7" t="inlineStr">
        <is>
          <t>희생플라이는 OBP 분모에 포함. 희생번트·포수방해는 분모에서 제외.</t>
        </is>
      </c>
      <c r="H40" s="4" t="n"/>
      <c r="I40" s="4" t="n"/>
      <c r="J40" s="4" t="n"/>
      <c r="K40" s="4" t="n"/>
    </row>
    <row r="41" ht="31.5" customHeight="1" s="70">
      <c r="B41" s="7" t="inlineStr">
        <is>
          <t>타율·ERA는 원래 분자·분모로 계산. 화면의 반올림 값으로 재계산하지 않음.</t>
        </is>
      </c>
      <c r="H41" s="4" t="n"/>
      <c r="I41" s="4" t="n"/>
      <c r="J41" s="4" t="n"/>
      <c r="K41" s="4" t="n"/>
    </row>
    <row r="42" ht="31.5" customHeight="1" s="70">
      <c r="B42" s="7" t="inlineStr">
        <is>
          <t>자책점 미확정은 빈칸 유지. 실책 개수만큼 실점에서 빼는 방식 사용 금지.</t>
        </is>
      </c>
      <c r="H42" s="4" t="n"/>
      <c r="I42" s="4" t="n"/>
      <c r="J42" s="4" t="n"/>
      <c r="K42" s="4" t="n"/>
    </row>
    <row r="43" ht="31.5" customHeight="1" s="70">
      <c r="B43" s="7" t="inlineStr">
        <is>
          <t>투수 교체 시 잔류 주자의 책임 투수와 교체 시점을 주요 기록에 기재.</t>
        </is>
      </c>
      <c r="H43" s="4" t="n"/>
      <c r="I43" s="4" t="n"/>
      <c r="J43" s="4" t="n"/>
      <c r="K43" s="4" t="n"/>
    </row>
    <row r="44" ht="31.5" customHeight="1" s="70">
      <c r="B44" s="7" t="inlineStr">
        <is>
          <t>수치 검수 통과와 플레이 판정 확인을 각각 완료. 수정 이유는 검수 이력에 기재.</t>
        </is>
      </c>
      <c r="H44" s="4" t="n"/>
      <c r="I44" s="4" t="n"/>
      <c r="J44" s="4" t="n"/>
      <c r="K44" s="4" t="n"/>
    </row>
    <row r="45" ht="15.75" customHeight="1" s="70"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 ht="36" customHeight="1" s="70">
      <c r="B46" s="11" t="inlineStr">
        <is>
          <t>기존 입력 좌표 유지. 추가 열·시트 및 확장 타석의 플랫폼 처리 여부는 업로드 전 확인.</t>
        </is>
      </c>
      <c r="H46" s="4" t="n"/>
      <c r="I46" s="4" t="n"/>
      <c r="J46" s="4" t="n"/>
      <c r="K46" s="4" t="n"/>
    </row>
    <row r="47" ht="15.75" customHeight="1" s="70"/>
    <row r="48" ht="30" customHeight="1" s="70">
      <c r="B48" s="21" t="inlineStr">
        <is>
          <t>벤치마킹: Wall Street Prep, Financial Modeling Guide (색상·수식 일관성·감사 가능성)</t>
        </is>
      </c>
    </row>
    <row r="49" ht="30" customHeight="1" s="70">
      <c r="B49" s="21" t="inlineStr">
        <is>
          <t>https://www.wallstreetprep.com/knowledge/financial-modeling/</t>
        </is>
      </c>
    </row>
    <row r="50" ht="15.75" customHeight="1" s="70"/>
    <row r="51" ht="30" customHeight="1" s="70">
      <c r="B51" s="6" t="inlineStr">
        <is>
          <t>추가 표기</t>
        </is>
      </c>
      <c r="C51" s="6" t="inlineStr">
        <is>
          <t>의미</t>
        </is>
      </c>
      <c r="D51" s="6" t="inlineStr">
        <is>
          <t>타수 포함</t>
        </is>
      </c>
    </row>
    <row r="52" ht="30" customHeight="1" s="70">
      <c r="B52" s="22" t="inlineStr">
        <is>
          <t>낫아웃출루</t>
        </is>
      </c>
      <c r="C52" s="22" t="inlineStr">
        <is>
          <t>삼진 후 출루</t>
        </is>
      </c>
      <c r="D52" s="22" t="inlineStr">
        <is>
          <t>포함</t>
        </is>
      </c>
    </row>
    <row r="53" ht="30" customHeight="1" s="70">
      <c r="B53" s="22" t="inlineStr">
        <is>
          <t>포수방해</t>
        </is>
      </c>
      <c r="C53" s="22" t="inlineStr">
        <is>
          <t>방해로 1루 진루</t>
        </is>
      </c>
      <c r="D53" s="22" t="inlineStr">
        <is>
          <t>제외</t>
        </is>
      </c>
    </row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29">
    <mergeCell ref="B2:G2"/>
    <mergeCell ref="B9:E9"/>
    <mergeCell ref="B42:G42"/>
    <mergeCell ref="F16:G16"/>
    <mergeCell ref="B6:E6"/>
    <mergeCell ref="F19:G19"/>
    <mergeCell ref="B1:G1"/>
    <mergeCell ref="B31:F31"/>
    <mergeCell ref="B5:E5"/>
    <mergeCell ref="B44:G44"/>
    <mergeCell ref="F21:G21"/>
    <mergeCell ref="F15:G15"/>
    <mergeCell ref="B37:G37"/>
    <mergeCell ref="F20:G20"/>
    <mergeCell ref="F18:G18"/>
    <mergeCell ref="B49:G49"/>
    <mergeCell ref="B7:E7"/>
    <mergeCell ref="B40:G40"/>
    <mergeCell ref="F17:G17"/>
    <mergeCell ref="B36:G36"/>
    <mergeCell ref="B12:E12"/>
    <mergeCell ref="B41:G41"/>
    <mergeCell ref="B8:E8"/>
    <mergeCell ref="B46:G46"/>
    <mergeCell ref="B43:G43"/>
    <mergeCell ref="F14:G14"/>
    <mergeCell ref="B10:E10"/>
    <mergeCell ref="B48:G48"/>
    <mergeCell ref="B39:G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17243B"/>
    <outlinePr summaryBelow="1" summaryRight="1"/>
    <pageSetUpPr/>
  </sheetPr>
  <dimension ref="B1:D27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70" min="1" max="1"/>
    <col width="25" customWidth="1" style="70" min="2" max="2"/>
    <col width="30" customWidth="1" style="70" min="3" max="3"/>
    <col width="65" customWidth="1" style="70" min="4" max="4"/>
    <col width="8.710000000000001" customWidth="1" style="70" min="5" max="26"/>
  </cols>
  <sheetData>
    <row r="1">
      <c r="B1" s="1" t="inlineStr">
        <is>
          <t>경기 정보</t>
        </is>
      </c>
    </row>
    <row r="2">
      <c r="B2" s="3" t="inlineStr">
        <is>
          <t>노란 칸만 입력하세요.</t>
        </is>
      </c>
    </row>
    <row r="3">
      <c r="B3" s="4" t="n"/>
      <c r="C3" s="4" t="n"/>
      <c r="D3" s="4" t="n"/>
    </row>
    <row r="4" ht="25.5" customHeight="1" s="70">
      <c r="B4" s="5" t="inlineStr">
        <is>
          <t>날짜</t>
        </is>
      </c>
      <c r="C4" s="10" t="n">
        <v>46312</v>
      </c>
      <c r="D4" s="11" t="inlineStr">
        <is>
          <t>날짜 형식으로 입력 (예: 2026-09-12)</t>
        </is>
      </c>
    </row>
    <row r="5" ht="25.5" customHeight="1" s="70">
      <c r="B5" s="5" t="inlineStr">
        <is>
          <t>상대팀</t>
        </is>
      </c>
      <c r="C5" s="12" t="inlineStr">
        <is>
          <t>테스트팀</t>
        </is>
      </c>
      <c r="D5" s="11" t="inlineStr">
        <is>
          <t>파일명에 들어가는 이름과 같게</t>
        </is>
      </c>
    </row>
    <row r="6" ht="25.5" customHeight="1" s="70">
      <c r="B6" s="5" t="inlineStr">
        <is>
          <t>홈/원정</t>
        </is>
      </c>
      <c r="C6" s="12" t="inlineStr">
        <is>
          <t>원정</t>
        </is>
      </c>
      <c r="D6" s="11" t="inlineStr">
        <is>
          <t>홈 또는 원정</t>
        </is>
      </c>
    </row>
    <row r="7" ht="25.5" customHeight="1" s="70">
      <c r="B7" s="5" t="inlineStr">
        <is>
          <t>장소</t>
        </is>
      </c>
      <c r="C7" s="12" t="inlineStr">
        <is>
          <t>테스트구장</t>
        </is>
      </c>
      <c r="D7" s="11" t="n"/>
    </row>
    <row r="8" ht="25.5" customHeight="1" s="70">
      <c r="B8" s="5" t="inlineStr">
        <is>
          <t>우리 점수</t>
        </is>
      </c>
      <c r="C8" s="12" t="n">
        <v>4</v>
      </c>
      <c r="D8" s="11" t="inlineStr">
        <is>
          <t>스코어보드 최종 점수</t>
        </is>
      </c>
    </row>
    <row r="9" ht="25.5" customHeight="1" s="70">
      <c r="B9" s="5" t="inlineStr">
        <is>
          <t>상대 점수</t>
        </is>
      </c>
      <c r="C9" s="12" t="n">
        <v>2</v>
      </c>
      <c r="D9" s="11" t="inlineStr">
        <is>
          <t>스코어보드 최종 점수</t>
        </is>
      </c>
    </row>
    <row r="10" ht="25.5" customHeight="1" s="70">
      <c r="B10" s="5" t="inlineStr">
        <is>
          <t>우리 수비 이닝</t>
        </is>
      </c>
      <c r="C10" s="12" t="n">
        <v>7</v>
      </c>
      <c r="D10" s="11" t="inlineStr">
        <is>
          <t>야구 표기 입력: 7 또는 6.2(6이닝 2아웃). 6.67 입력 금지.</t>
        </is>
      </c>
    </row>
    <row r="11" ht="25.5" customHeight="1" s="70">
      <c r="B11" s="4" t="n"/>
      <c r="C11" s="15" t="n"/>
      <c r="D11" s="8" t="n"/>
    </row>
    <row r="12" ht="25.5" customHeight="1" s="70">
      <c r="B12" s="5" t="inlineStr">
        <is>
          <t>기록원 A (타자)</t>
        </is>
      </c>
      <c r="C12" s="12" t="n"/>
      <c r="D12" s="11" t="n"/>
    </row>
    <row r="13" ht="25.5" customHeight="1" s="70">
      <c r="B13" s="5" t="inlineStr">
        <is>
          <t>기록원 B (투수)</t>
        </is>
      </c>
      <c r="C13" s="12" t="n"/>
      <c r="D13" s="11" t="n"/>
    </row>
    <row r="14" ht="25.5" customHeight="1" s="70">
      <c r="B14" s="5" t="inlineStr">
        <is>
          <t>1차 검수 (운영팀장)</t>
        </is>
      </c>
      <c r="C14" s="12" t="n"/>
      <c r="D14" s="11" t="n"/>
    </row>
    <row r="15" ht="25.5" customHeight="1" s="70">
      <c r="B15" s="5" t="inlineStr">
        <is>
          <t>2차 검수 (단장·감독)</t>
        </is>
      </c>
      <c r="C15" s="12" t="n"/>
      <c r="D15" s="11" t="n"/>
    </row>
    <row r="16" ht="25.5" customHeight="1" s="70">
      <c r="B16" s="5" t="inlineStr">
        <is>
          <t>검수 완료일</t>
        </is>
      </c>
      <c r="C16" s="10" t="n"/>
      <c r="D16" s="11" t="n"/>
    </row>
    <row r="17" ht="25.5" customHeight="1" s="70">
      <c r="B17" s="4" t="n"/>
      <c r="C17" s="4" t="n"/>
      <c r="D17" s="8" t="n"/>
    </row>
    <row r="18" ht="25.5" customHeight="1" s="70">
      <c r="B18" s="5" t="inlineStr">
        <is>
          <t>업로드 파일명</t>
        </is>
      </c>
      <c r="C18" s="20">
        <f>IFERROR(MONTH(C4)&amp;"_"&amp;DAY(C4)&amp;" VS "&amp;C5&amp;" 경기 기록","날짜와 상대팀을 먼저 입력하세요")</f>
        <v/>
      </c>
      <c r="D18" s="11" t="inlineStr">
        <is>
          <t>자동 생성. 이 이름으로 파일을 저장한 뒤 업로드하세요 (.xlsx 확장자 포함)</t>
        </is>
      </c>
    </row>
    <row r="19" ht="25.5" customHeight="1" s="70">
      <c r="D19" s="21" t="n"/>
    </row>
    <row r="20" ht="25.5" customHeight="1" s="70">
      <c r="B20" s="22" t="inlineStr">
        <is>
          <t>ERA 기준 이닝</t>
        </is>
      </c>
      <c r="C20" s="30" t="n">
        <v>5</v>
      </c>
      <c r="D20" s="21" t="inlineStr">
        <is>
          <t>공식 비교는 9. 별도 리그 기준 사용 시 변경.</t>
        </is>
      </c>
    </row>
    <row r="21" ht="25.5" customHeight="1" s="70">
      <c r="B21" s="22" t="inlineStr">
        <is>
          <t>수비 아웃 기준값</t>
        </is>
      </c>
      <c r="C21" s="25">
        <f>IF(NOT(ISNUMBER(C10)),"",ROUND(INT(C10)*3+MOD(C10,1)*10,0))</f>
        <v/>
      </c>
      <c r="D21" s="21" t="inlineStr">
        <is>
          <t>스코어북의 수비 이닝을 아웃으로 변환. 투수 합계와 독립 대조.</t>
        </is>
      </c>
    </row>
    <row r="22" ht="25.5" customHeight="1" s="70">
      <c r="B22" s="22" t="inlineStr">
        <is>
          <t>시스템 입력 완료일</t>
        </is>
      </c>
      <c r="C22" s="26" t="n"/>
      <c r="D22" s="21" t="n"/>
    </row>
    <row r="23" ht="25.5" customHeight="1" s="70">
      <c r="B23" s="22" t="inlineStr">
        <is>
          <t>검수·입력 마감일</t>
        </is>
      </c>
      <c r="C23" s="29">
        <f>IF(NOT(ISNUMBER(C4)),"",C4+3)</f>
        <v/>
      </c>
      <c r="D23" s="21" t="n"/>
    </row>
    <row r="24" ht="25.5" customHeight="1" s="70">
      <c r="B24" s="22" t="inlineStr">
        <is>
          <t>마감 준수</t>
        </is>
      </c>
      <c r="C24" s="25">
        <f>IF(OR(NOT(ISNUMBER(C16)),NOT(ISNUMBER(C22)),NOT(ISNUMBER(C4))),"완료일 입력 대기",IF(AND(C16&gt;=C4,C22&gt;=C4,MAX(C16,C22)&lt;=C23),"기한 내 완료","기한 초과 또는 날짜 확인"))</f>
        <v/>
      </c>
      <c r="D24" s="21" t="n"/>
    </row>
    <row r="25" ht="25.5" customHeight="1" s="70">
      <c r="B25" s="22" t="inlineStr">
        <is>
          <t>플레이 판정 확인</t>
        </is>
      </c>
      <c r="C25" s="30" t="n"/>
      <c r="D25" s="21" t="inlineStr">
        <is>
          <t>안타·실책·타점·자책점 판정 확인 후 선택.</t>
        </is>
      </c>
    </row>
    <row r="26" ht="25.5" customHeight="1" s="70">
      <c r="B26" s="22" t="inlineStr">
        <is>
          <t>교차 기록 대조</t>
        </is>
      </c>
      <c r="C26" s="30" t="n"/>
      <c r="D26" s="21" t="n"/>
    </row>
    <row r="27" ht="42" customHeight="1" s="70">
      <c r="B27" s="22" t="inlineStr">
        <is>
          <t>버전</t>
        </is>
      </c>
      <c r="C27" s="22" t="inlineStr">
        <is>
          <t>v3.0</t>
        </is>
      </c>
      <c r="D27" s="21" t="inlineStr">
        <is>
          <t>기존 시트명·입력 위치 유지. 추가 열의 플랫폼 호환은 업로드 전 확인.</t>
        </is>
      </c>
    </row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2">
    <mergeCell ref="B1:D1"/>
    <mergeCell ref="B2:D2"/>
  </mergeCells>
  <dataValidations count="4">
    <dataValidation sqref="C25" showDropDown="0" showInputMessage="0" showErrorMessage="0" allowBlank="1" type="list">
      <formula1>"미확인,확인 완료"</formula1>
    </dataValidation>
    <dataValidation sqref="C26" showDropDown="0" showInputMessage="0" showErrorMessage="0" allowBlank="1" type="list">
      <formula1>"미완료,대조 완료,1인 기록 재확인"</formula1>
    </dataValidation>
    <dataValidation sqref="C8:C9" showDropDown="0" showInputMessage="0" showErrorMessage="0" allowBlank="1" type="decimal">
      <formula1>0.0</formula1>
      <formula2>999.0</formula2>
    </dataValidation>
    <dataValidation sqref="C20" showDropDown="0" showInputMessage="0" showErrorMessage="0" allowBlank="1" type="decimal">
      <formula1>1.0</formula1>
      <formula2>9.0</formula2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17243B"/>
    <outlinePr summaryBelow="1" summaryRight="1"/>
    <pageSetUpPr/>
  </sheetPr>
  <dimension ref="A1:AO21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7" customWidth="1" style="70" min="1" max="1"/>
    <col width="17" customWidth="1" style="70" min="2" max="2"/>
    <col width="12" customWidth="1" style="70" min="3" max="27"/>
    <col width="13" customWidth="1" style="70" min="28" max="41"/>
  </cols>
  <sheetData>
    <row r="1" ht="30" customHeight="1" s="70">
      <c r="A1" s="2" t="inlineStr">
        <is>
          <t>타순</t>
        </is>
      </c>
      <c r="B1" s="2" t="inlineStr">
        <is>
          <t>이름</t>
        </is>
      </c>
      <c r="C1" s="2" t="inlineStr">
        <is>
          <t>포지션</t>
        </is>
      </c>
      <c r="D1" s="2" t="inlineStr">
        <is>
          <t>1타석</t>
        </is>
      </c>
      <c r="E1" s="2" t="inlineStr">
        <is>
          <t>2타석</t>
        </is>
      </c>
      <c r="F1" s="2" t="inlineStr">
        <is>
          <t>3타석</t>
        </is>
      </c>
      <c r="G1" s="2" t="inlineStr">
        <is>
          <t>4타석</t>
        </is>
      </c>
      <c r="H1" s="2" t="inlineStr">
        <is>
          <t>5타석</t>
        </is>
      </c>
      <c r="I1" s="2" t="inlineStr">
        <is>
          <t>6타석</t>
        </is>
      </c>
      <c r="J1" s="2" t="inlineStr">
        <is>
          <t>득점</t>
        </is>
      </c>
      <c r="K1" s="2" t="inlineStr">
        <is>
          <t>타점</t>
        </is>
      </c>
      <c r="L1" s="2" t="inlineStr">
        <is>
          <t>도루</t>
        </is>
      </c>
      <c r="M1" s="2" t="inlineStr">
        <is>
          <t>타수</t>
        </is>
      </c>
      <c r="N1" s="2" t="inlineStr">
        <is>
          <t>안타</t>
        </is>
      </c>
      <c r="O1" s="2" t="inlineStr">
        <is>
          <t>2루타</t>
        </is>
      </c>
      <c r="P1" s="2" t="inlineStr">
        <is>
          <t>3루타</t>
        </is>
      </c>
      <c r="Q1" s="2" t="inlineStr">
        <is>
          <t>홈런</t>
        </is>
      </c>
      <c r="R1" s="2" t="inlineStr">
        <is>
          <t>볼넷</t>
        </is>
      </c>
      <c r="S1" s="2" t="inlineStr">
        <is>
          <t>사구</t>
        </is>
      </c>
      <c r="T1" s="2" t="inlineStr">
        <is>
          <t>삼진</t>
        </is>
      </c>
      <c r="U1" s="2" t="inlineStr">
        <is>
          <t>타율</t>
        </is>
      </c>
      <c r="V1" s="6" t="inlineStr">
        <is>
          <t>7타석</t>
        </is>
      </c>
      <c r="W1" s="6" t="inlineStr">
        <is>
          <t>8타석</t>
        </is>
      </c>
      <c r="X1" s="6" t="inlineStr">
        <is>
          <t>9타석</t>
        </is>
      </c>
      <c r="Y1" s="6" t="inlineStr">
        <is>
          <t>10타석</t>
        </is>
      </c>
      <c r="Z1" s="6" t="inlineStr">
        <is>
          <t>11타석</t>
        </is>
      </c>
      <c r="AA1" s="6" t="inlineStr">
        <is>
          <t>12타석</t>
        </is>
      </c>
      <c r="AB1" s="6" t="inlineStr">
        <is>
          <t>타석 PA</t>
        </is>
      </c>
      <c r="AC1" s="6" t="inlineStr">
        <is>
          <t>희생플라이</t>
        </is>
      </c>
      <c r="AD1" s="6" t="inlineStr">
        <is>
          <t>희생번트</t>
        </is>
      </c>
      <c r="AE1" s="6" t="inlineStr">
        <is>
          <t>총루타 TB</t>
        </is>
      </c>
      <c r="AF1" s="6" t="inlineStr">
        <is>
          <t>출루율 OBP</t>
        </is>
      </c>
      <c r="AG1" s="6" t="inlineStr">
        <is>
          <t>장타율 SLG</t>
        </is>
      </c>
      <c r="AH1" s="6" t="inlineStr">
        <is>
          <t>OPS</t>
        </is>
      </c>
      <c r="AI1" s="6" t="inlineStr">
        <is>
          <t>포수방해</t>
        </is>
      </c>
      <c r="AJ1" s="6" t="inlineStr">
        <is>
          <t>병살타</t>
        </is>
      </c>
      <c r="AK1" s="6" t="inlineStr">
        <is>
          <t>실책출루</t>
        </is>
      </c>
      <c r="AL1" s="6" t="inlineStr">
        <is>
          <t>야수선택</t>
        </is>
      </c>
      <c r="AM1" s="6" t="inlineStr">
        <is>
          <t>단타</t>
        </is>
      </c>
      <c r="AN1" s="6" t="inlineStr">
        <is>
          <t>BB%</t>
        </is>
      </c>
      <c r="AO1" s="6" t="inlineStr">
        <is>
          <t>K%</t>
        </is>
      </c>
    </row>
    <row r="2" ht="24.75" customHeight="1" s="70">
      <c r="A2" s="12" t="n">
        <v>1</v>
      </c>
      <c r="B2" s="12" t="inlineStr">
        <is>
          <t>가선수</t>
        </is>
      </c>
      <c r="C2" s="12" t="inlineStr">
        <is>
          <t>CF</t>
        </is>
      </c>
      <c r="D2" s="12" t="inlineStr">
        <is>
          <t>안타</t>
        </is>
      </c>
      <c r="E2" s="12" t="inlineStr">
        <is>
          <t>볼넷</t>
        </is>
      </c>
      <c r="F2" s="12" t="inlineStr">
        <is>
          <t>희생플라이</t>
        </is>
      </c>
      <c r="G2" s="12" t="inlineStr">
        <is>
          <t>2루타</t>
        </is>
      </c>
      <c r="H2" s="12" t="n"/>
      <c r="I2" s="12" t="n"/>
      <c r="J2" s="12" t="n">
        <v>1</v>
      </c>
      <c r="K2" s="12" t="n">
        <v>2</v>
      </c>
      <c r="L2" s="12" t="n">
        <v>1</v>
      </c>
      <c r="M2" s="28">
        <f>AB2-R2-S2-AC2-AD2-AI2</f>
        <v/>
      </c>
      <c r="N2" s="28">
        <f>SUM(O2:Q2)+AM2</f>
        <v/>
      </c>
      <c r="O2" s="28">
        <f>COUNTIF(D2:I2,"2루타")+COUNTIF(V2:AA2,"2루타")</f>
        <v/>
      </c>
      <c r="P2" s="28">
        <f>COUNTIF(D2:I2,"3루타")+COUNTIF(V2:AA2,"3루타")</f>
        <v/>
      </c>
      <c r="Q2" s="28">
        <f>COUNTIF(D2:I2,"홈런")+COUNTIF(V2:AA2,"홈런")</f>
        <v/>
      </c>
      <c r="R2" s="28">
        <f>COUNTIF(D2:I2,"볼넷")+COUNTIF(V2:AA2,"볼넷")</f>
        <v/>
      </c>
      <c r="S2" s="28">
        <f>COUNTIF(D2:I2,"사구")+COUNTIF(V2:AA2,"사구")</f>
        <v/>
      </c>
      <c r="T2" s="28">
        <f>COUNTIF(D2:I2,"삼진")+COUNTIF(V2:AA2,"삼진")+COUNTIF(D2:I2,"루킹삼진")+COUNTIF(V2:AA2,"루킹삼진")+COUNTIF(D2:I2,"낫아웃출루")+COUNTIF(V2:AA2,"낫아웃출루")</f>
        <v/>
      </c>
      <c r="U2" s="33">
        <f>IF(AB2=0,"",IF(M2=0,"n.a.",N2/M2))</f>
        <v/>
      </c>
      <c r="V2" s="30" t="inlineStr">
        <is>
          <t>안타</t>
        </is>
      </c>
      <c r="W2" s="30" t="n"/>
      <c r="X2" s="30" t="n"/>
      <c r="Y2" s="30" t="n"/>
      <c r="Z2" s="30" t="n"/>
      <c r="AA2" s="30" t="n"/>
      <c r="AB2" s="32">
        <f>COUNTA(D2:I2)+COUNTA(V2:AA2)</f>
        <v/>
      </c>
      <c r="AC2" s="32">
        <f>COUNTIF(D2:I2,"희생플라이")+COUNTIF(V2:AA2,"희생플라이")</f>
        <v/>
      </c>
      <c r="AD2" s="32">
        <f>COUNTIF(D2:I2,"희생번트")+COUNTIF(V2:AA2,"희생번트")</f>
        <v/>
      </c>
      <c r="AE2" s="32">
        <f>AM2+2*O2+3*P2+4*Q2</f>
        <v/>
      </c>
      <c r="AF2" s="34">
        <f>IF(AB2=0,"",IF(M2+R2+S2+AC2=0,"n.a.",(N2+R2+S2)/(M2+R2+S2+AC2)))</f>
        <v/>
      </c>
      <c r="AG2" s="34">
        <f>IF(AB2=0,"",IF(M2=0,"n.a.",AE2/M2))</f>
        <v/>
      </c>
      <c r="AH2" s="34">
        <f>IF(AB2=0,"",IF(AND(ISNUMBER(AF2),ISNUMBER(AG2)),AF2+AG2,"n.a."))</f>
        <v/>
      </c>
      <c r="AI2" s="32">
        <f>COUNTIF(D2:I2,"포수방해")+COUNTIF(V2:AA2,"포수방해")</f>
        <v/>
      </c>
      <c r="AJ2" s="32">
        <f>COUNTIF(D2:I2,"병살")+COUNTIF(V2:AA2,"병살")</f>
        <v/>
      </c>
      <c r="AK2" s="32">
        <f>COUNTIF(D2:I2,"실책출루")+COUNTIF(V2:AA2,"실책출루")</f>
        <v/>
      </c>
      <c r="AL2" s="32">
        <f>COUNTIF(D2:I2,"야수선택")+COUNTIF(V2:AA2,"야수선택")</f>
        <v/>
      </c>
      <c r="AM2" s="32">
        <f>COUNTIF(D2:I2,"안타")+COUNTIF(V2:AA2,"안타")</f>
        <v/>
      </c>
      <c r="AN2" s="35">
        <f>IF(AB2=0,"",R2/AB2)</f>
        <v/>
      </c>
      <c r="AO2" s="35">
        <f>IF(AB2=0,"",T2/AB2)</f>
        <v/>
      </c>
    </row>
    <row r="3" ht="24.75" customHeight="1" s="70">
      <c r="A3" s="12" t="n">
        <v>2</v>
      </c>
      <c r="B3" s="12" t="inlineStr">
        <is>
          <t>나선수</t>
        </is>
      </c>
      <c r="C3" s="12" t="inlineStr">
        <is>
          <t>SS</t>
        </is>
      </c>
      <c r="D3" s="12" t="inlineStr">
        <is>
          <t>삼진</t>
        </is>
      </c>
      <c r="E3" s="12" t="inlineStr">
        <is>
          <t>루킹삼진</t>
        </is>
      </c>
      <c r="F3" s="12" t="inlineStr">
        <is>
          <t>낫아웃출루</t>
        </is>
      </c>
      <c r="G3" s="12" t="inlineStr">
        <is>
          <t>땅볼</t>
        </is>
      </c>
      <c r="H3" s="12" t="n"/>
      <c r="I3" s="12" t="n"/>
      <c r="J3" s="12" t="n">
        <v>0</v>
      </c>
      <c r="K3" s="12" t="n">
        <v>0</v>
      </c>
      <c r="L3" s="12" t="n">
        <v>0</v>
      </c>
      <c r="M3" s="28">
        <f>AB3-R3-S3-AC3-AD3-AI3</f>
        <v/>
      </c>
      <c r="N3" s="28">
        <f>SUM(O3:Q3)+AM3</f>
        <v/>
      </c>
      <c r="O3" s="28">
        <f>COUNTIF(D3:I3,"2루타")+COUNTIF(V3:AA3,"2루타")</f>
        <v/>
      </c>
      <c r="P3" s="28">
        <f>COUNTIF(D3:I3,"3루타")+COUNTIF(V3:AA3,"3루타")</f>
        <v/>
      </c>
      <c r="Q3" s="28">
        <f>COUNTIF(D3:I3,"홈런")+COUNTIF(V3:AA3,"홈런")</f>
        <v/>
      </c>
      <c r="R3" s="28">
        <f>COUNTIF(D3:I3,"볼넷")+COUNTIF(V3:AA3,"볼넷")</f>
        <v/>
      </c>
      <c r="S3" s="28">
        <f>COUNTIF(D3:I3,"사구")+COUNTIF(V3:AA3,"사구")</f>
        <v/>
      </c>
      <c r="T3" s="28">
        <f>COUNTIF(D3:I3,"삼진")+COUNTIF(V3:AA3,"삼진")+COUNTIF(D3:I3,"루킹삼진")+COUNTIF(V3:AA3,"루킹삼진")+COUNTIF(D3:I3,"낫아웃출루")+COUNTIF(V3:AA3,"낫아웃출루")</f>
        <v/>
      </c>
      <c r="U3" s="33">
        <f>IF(AB3=0,"",IF(M3=0,"n.a.",N3/M3))</f>
        <v/>
      </c>
      <c r="V3" s="30" t="n"/>
      <c r="W3" s="30" t="n"/>
      <c r="X3" s="30" t="n"/>
      <c r="Y3" s="30" t="n"/>
      <c r="Z3" s="30" t="n"/>
      <c r="AA3" s="30" t="n"/>
      <c r="AB3" s="32">
        <f>COUNTA(D3:I3)+COUNTA(V3:AA3)</f>
        <v/>
      </c>
      <c r="AC3" s="32">
        <f>COUNTIF(D3:I3,"희생플라이")+COUNTIF(V3:AA3,"희생플라이")</f>
        <v/>
      </c>
      <c r="AD3" s="32">
        <f>COUNTIF(D3:I3,"희생번트")+COUNTIF(V3:AA3,"희생번트")</f>
        <v/>
      </c>
      <c r="AE3" s="32">
        <f>AM3+2*O3+3*P3+4*Q3</f>
        <v/>
      </c>
      <c r="AF3" s="34">
        <f>IF(AB3=0,"",IF(M3+R3+S3+AC3=0,"n.a.",(N3+R3+S3)/(M3+R3+S3+AC3)))</f>
        <v/>
      </c>
      <c r="AG3" s="34">
        <f>IF(AB3=0,"",IF(M3=0,"n.a.",AE3/M3))</f>
        <v/>
      </c>
      <c r="AH3" s="34">
        <f>IF(AB3=0,"",IF(AND(ISNUMBER(AF3),ISNUMBER(AG3)),AF3+AG3,"n.a."))</f>
        <v/>
      </c>
      <c r="AI3" s="32">
        <f>COUNTIF(D3:I3,"포수방해")+COUNTIF(V3:AA3,"포수방해")</f>
        <v/>
      </c>
      <c r="AJ3" s="32">
        <f>COUNTIF(D3:I3,"병살")+COUNTIF(V3:AA3,"병살")</f>
        <v/>
      </c>
      <c r="AK3" s="32">
        <f>COUNTIF(D3:I3,"실책출루")+COUNTIF(V3:AA3,"실책출루")</f>
        <v/>
      </c>
      <c r="AL3" s="32">
        <f>COUNTIF(D3:I3,"야수선택")+COUNTIF(V3:AA3,"야수선택")</f>
        <v/>
      </c>
      <c r="AM3" s="32">
        <f>COUNTIF(D3:I3,"안타")+COUNTIF(V3:AA3,"안타")</f>
        <v/>
      </c>
      <c r="AN3" s="35">
        <f>IF(AB3=0,"",R3/AB3)</f>
        <v/>
      </c>
      <c r="AO3" s="35">
        <f>IF(AB3=0,"",T3/AB3)</f>
        <v/>
      </c>
    </row>
    <row r="4" ht="24.75" customHeight="1" s="70">
      <c r="A4" s="12" t="n">
        <v>3</v>
      </c>
      <c r="B4" s="12" t="inlineStr">
        <is>
          <t>다선수</t>
        </is>
      </c>
      <c r="C4" s="12" t="inlineStr">
        <is>
          <t>1B</t>
        </is>
      </c>
      <c r="D4" s="12" t="inlineStr">
        <is>
          <t>홈런</t>
        </is>
      </c>
      <c r="E4" s="12" t="inlineStr">
        <is>
          <t>뜬공</t>
        </is>
      </c>
      <c r="F4" s="12" t="inlineStr">
        <is>
          <t>사구</t>
        </is>
      </c>
      <c r="G4" s="12" t="inlineStr">
        <is>
          <t>직선타</t>
        </is>
      </c>
      <c r="H4" s="12" t="n"/>
      <c r="I4" s="12" t="n"/>
      <c r="J4" s="12" t="n">
        <v>1</v>
      </c>
      <c r="K4" s="12" t="n">
        <v>1</v>
      </c>
      <c r="L4" s="12" t="n">
        <v>0</v>
      </c>
      <c r="M4" s="28">
        <f>AB4-R4-S4-AC4-AD4-AI4</f>
        <v/>
      </c>
      <c r="N4" s="28">
        <f>SUM(O4:Q4)+AM4</f>
        <v/>
      </c>
      <c r="O4" s="28">
        <f>COUNTIF(D4:I4,"2루타")+COUNTIF(V4:AA4,"2루타")</f>
        <v/>
      </c>
      <c r="P4" s="28">
        <f>COUNTIF(D4:I4,"3루타")+COUNTIF(V4:AA4,"3루타")</f>
        <v/>
      </c>
      <c r="Q4" s="28">
        <f>COUNTIF(D4:I4,"홈런")+COUNTIF(V4:AA4,"홈런")</f>
        <v/>
      </c>
      <c r="R4" s="28">
        <f>COUNTIF(D4:I4,"볼넷")+COUNTIF(V4:AA4,"볼넷")</f>
        <v/>
      </c>
      <c r="S4" s="28">
        <f>COUNTIF(D4:I4,"사구")+COUNTIF(V4:AA4,"사구")</f>
        <v/>
      </c>
      <c r="T4" s="28">
        <f>COUNTIF(D4:I4,"삼진")+COUNTIF(V4:AA4,"삼진")+COUNTIF(D4:I4,"루킹삼진")+COUNTIF(V4:AA4,"루킹삼진")+COUNTIF(D4:I4,"낫아웃출루")+COUNTIF(V4:AA4,"낫아웃출루")</f>
        <v/>
      </c>
      <c r="U4" s="33">
        <f>IF(AB4=0,"",IF(M4=0,"n.a.",N4/M4))</f>
        <v/>
      </c>
      <c r="V4" s="30" t="n"/>
      <c r="W4" s="30" t="n"/>
      <c r="X4" s="30" t="n"/>
      <c r="Y4" s="30" t="n"/>
      <c r="Z4" s="30" t="n"/>
      <c r="AA4" s="30" t="n"/>
      <c r="AB4" s="32">
        <f>COUNTA(D4:I4)+COUNTA(V4:AA4)</f>
        <v/>
      </c>
      <c r="AC4" s="32">
        <f>COUNTIF(D4:I4,"희생플라이")+COUNTIF(V4:AA4,"희생플라이")</f>
        <v/>
      </c>
      <c r="AD4" s="32">
        <f>COUNTIF(D4:I4,"희생번트")+COUNTIF(V4:AA4,"희생번트")</f>
        <v/>
      </c>
      <c r="AE4" s="32">
        <f>AM4+2*O4+3*P4+4*Q4</f>
        <v/>
      </c>
      <c r="AF4" s="34">
        <f>IF(AB4=0,"",IF(M4+R4+S4+AC4=0,"n.a.",(N4+R4+S4)/(M4+R4+S4+AC4)))</f>
        <v/>
      </c>
      <c r="AG4" s="34">
        <f>IF(AB4=0,"",IF(M4=0,"n.a.",AE4/M4))</f>
        <v/>
      </c>
      <c r="AH4" s="34">
        <f>IF(AB4=0,"",IF(AND(ISNUMBER(AF4),ISNUMBER(AG4)),AF4+AG4,"n.a."))</f>
        <v/>
      </c>
      <c r="AI4" s="32">
        <f>COUNTIF(D4:I4,"포수방해")+COUNTIF(V4:AA4,"포수방해")</f>
        <v/>
      </c>
      <c r="AJ4" s="32">
        <f>COUNTIF(D4:I4,"병살")+COUNTIF(V4:AA4,"병살")</f>
        <v/>
      </c>
      <c r="AK4" s="32">
        <f>COUNTIF(D4:I4,"실책출루")+COUNTIF(V4:AA4,"실책출루")</f>
        <v/>
      </c>
      <c r="AL4" s="32">
        <f>COUNTIF(D4:I4,"야수선택")+COUNTIF(V4:AA4,"야수선택")</f>
        <v/>
      </c>
      <c r="AM4" s="32">
        <f>COUNTIF(D4:I4,"안타")+COUNTIF(V4:AA4,"안타")</f>
        <v/>
      </c>
      <c r="AN4" s="35">
        <f>IF(AB4=0,"",R4/AB4)</f>
        <v/>
      </c>
      <c r="AO4" s="35">
        <f>IF(AB4=0,"",T4/AB4)</f>
        <v/>
      </c>
    </row>
    <row r="5" ht="24.75" customHeight="1" s="70">
      <c r="A5" s="12" t="n">
        <v>4</v>
      </c>
      <c r="B5" s="12" t="inlineStr">
        <is>
          <t>라선수</t>
        </is>
      </c>
      <c r="C5" s="12" t="inlineStr">
        <is>
          <t>C</t>
        </is>
      </c>
      <c r="D5" s="12" t="inlineStr">
        <is>
          <t>희생번트</t>
        </is>
      </c>
      <c r="E5" s="12" t="inlineStr">
        <is>
          <t>안타</t>
        </is>
      </c>
      <c r="F5" s="12" t="inlineStr">
        <is>
          <t>병살</t>
        </is>
      </c>
      <c r="G5" s="12" t="inlineStr">
        <is>
          <t>포수방해</t>
        </is>
      </c>
      <c r="H5" s="12" t="n"/>
      <c r="I5" s="12" t="n"/>
      <c r="J5" s="12" t="n">
        <v>0</v>
      </c>
      <c r="K5" s="12" t="n">
        <v>0</v>
      </c>
      <c r="L5" s="12" t="n">
        <v>0</v>
      </c>
      <c r="M5" s="28">
        <f>AB5-R5-S5-AC5-AD5-AI5</f>
        <v/>
      </c>
      <c r="N5" s="28">
        <f>SUM(O5:Q5)+AM5</f>
        <v/>
      </c>
      <c r="O5" s="28">
        <f>COUNTIF(D5:I5,"2루타")+COUNTIF(V5:AA5,"2루타")</f>
        <v/>
      </c>
      <c r="P5" s="28">
        <f>COUNTIF(D5:I5,"3루타")+COUNTIF(V5:AA5,"3루타")</f>
        <v/>
      </c>
      <c r="Q5" s="28">
        <f>COUNTIF(D5:I5,"홈런")+COUNTIF(V5:AA5,"홈런")</f>
        <v/>
      </c>
      <c r="R5" s="28">
        <f>COUNTIF(D5:I5,"볼넷")+COUNTIF(V5:AA5,"볼넷")</f>
        <v/>
      </c>
      <c r="S5" s="28">
        <f>COUNTIF(D5:I5,"사구")+COUNTIF(V5:AA5,"사구")</f>
        <v/>
      </c>
      <c r="T5" s="28">
        <f>COUNTIF(D5:I5,"삼진")+COUNTIF(V5:AA5,"삼진")+COUNTIF(D5:I5,"루킹삼진")+COUNTIF(V5:AA5,"루킹삼진")+COUNTIF(D5:I5,"낫아웃출루")+COUNTIF(V5:AA5,"낫아웃출루")</f>
        <v/>
      </c>
      <c r="U5" s="33">
        <f>IF(AB5=0,"",IF(M5=0,"n.a.",N5/M5))</f>
        <v/>
      </c>
      <c r="V5" s="30" t="n"/>
      <c r="W5" s="30" t="n"/>
      <c r="X5" s="30" t="n"/>
      <c r="Y5" s="30" t="n"/>
      <c r="Z5" s="30" t="n"/>
      <c r="AA5" s="30" t="n"/>
      <c r="AB5" s="32">
        <f>COUNTA(D5:I5)+COUNTA(V5:AA5)</f>
        <v/>
      </c>
      <c r="AC5" s="32">
        <f>COUNTIF(D5:I5,"희생플라이")+COUNTIF(V5:AA5,"희생플라이")</f>
        <v/>
      </c>
      <c r="AD5" s="32">
        <f>COUNTIF(D5:I5,"희생번트")+COUNTIF(V5:AA5,"희생번트")</f>
        <v/>
      </c>
      <c r="AE5" s="32">
        <f>AM5+2*O5+3*P5+4*Q5</f>
        <v/>
      </c>
      <c r="AF5" s="34">
        <f>IF(AB5=0,"",IF(M5+R5+S5+AC5=0,"n.a.",(N5+R5+S5)/(M5+R5+S5+AC5)))</f>
        <v/>
      </c>
      <c r="AG5" s="34">
        <f>IF(AB5=0,"",IF(M5=0,"n.a.",AE5/M5))</f>
        <v/>
      </c>
      <c r="AH5" s="34">
        <f>IF(AB5=0,"",IF(AND(ISNUMBER(AF5),ISNUMBER(AG5)),AF5+AG5,"n.a."))</f>
        <v/>
      </c>
      <c r="AI5" s="32">
        <f>COUNTIF(D5:I5,"포수방해")+COUNTIF(V5:AA5,"포수방해")</f>
        <v/>
      </c>
      <c r="AJ5" s="32">
        <f>COUNTIF(D5:I5,"병살")+COUNTIF(V5:AA5,"병살")</f>
        <v/>
      </c>
      <c r="AK5" s="32">
        <f>COUNTIF(D5:I5,"실책출루")+COUNTIF(V5:AA5,"실책출루")</f>
        <v/>
      </c>
      <c r="AL5" s="32">
        <f>COUNTIF(D5:I5,"야수선택")+COUNTIF(V5:AA5,"야수선택")</f>
        <v/>
      </c>
      <c r="AM5" s="32">
        <f>COUNTIF(D5:I5,"안타")+COUNTIF(V5:AA5,"안타")</f>
        <v/>
      </c>
      <c r="AN5" s="35">
        <f>IF(AB5=0,"",R5/AB5)</f>
        <v/>
      </c>
      <c r="AO5" s="35">
        <f>IF(AB5=0,"",T5/AB5)</f>
        <v/>
      </c>
    </row>
    <row r="6" ht="24.75" customHeight="1" s="70">
      <c r="A6" s="12" t="n">
        <v>5</v>
      </c>
      <c r="B6" s="12" t="inlineStr">
        <is>
          <t>마선수</t>
        </is>
      </c>
      <c r="C6" s="12" t="inlineStr">
        <is>
          <t>3B</t>
        </is>
      </c>
      <c r="D6" s="12" t="inlineStr">
        <is>
          <t>볼넷</t>
        </is>
      </c>
      <c r="E6" s="12" t="inlineStr">
        <is>
          <t>3루타</t>
        </is>
      </c>
      <c r="F6" s="12" t="inlineStr">
        <is>
          <t>실책출루</t>
        </is>
      </c>
      <c r="G6" s="12" t="n"/>
      <c r="H6" s="12" t="n"/>
      <c r="I6" s="12" t="n"/>
      <c r="J6" s="12" t="n">
        <v>1</v>
      </c>
      <c r="K6" s="12" t="n">
        <v>1</v>
      </c>
      <c r="L6" s="12" t="n">
        <v>0</v>
      </c>
      <c r="M6" s="28">
        <f>AB6-R6-S6-AC6-AD6-AI6</f>
        <v/>
      </c>
      <c r="N6" s="28">
        <f>SUM(O6:Q6)+AM6</f>
        <v/>
      </c>
      <c r="O6" s="28">
        <f>COUNTIF(D6:I6,"2루타")+COUNTIF(V6:AA6,"2루타")</f>
        <v/>
      </c>
      <c r="P6" s="28">
        <f>COUNTIF(D6:I6,"3루타")+COUNTIF(V6:AA6,"3루타")</f>
        <v/>
      </c>
      <c r="Q6" s="28">
        <f>COUNTIF(D6:I6,"홈런")+COUNTIF(V6:AA6,"홈런")</f>
        <v/>
      </c>
      <c r="R6" s="28">
        <f>COUNTIF(D6:I6,"볼넷")+COUNTIF(V6:AA6,"볼넷")</f>
        <v/>
      </c>
      <c r="S6" s="28">
        <f>COUNTIF(D6:I6,"사구")+COUNTIF(V6:AA6,"사구")</f>
        <v/>
      </c>
      <c r="T6" s="28">
        <f>COUNTIF(D6:I6,"삼진")+COUNTIF(V6:AA6,"삼진")+COUNTIF(D6:I6,"루킹삼진")+COUNTIF(V6:AA6,"루킹삼진")+COUNTIF(D6:I6,"낫아웃출루")+COUNTIF(V6:AA6,"낫아웃출루")</f>
        <v/>
      </c>
      <c r="U6" s="33">
        <f>IF(AB6=0,"",IF(M6=0,"n.a.",N6/M6))</f>
        <v/>
      </c>
      <c r="V6" s="30" t="n"/>
      <c r="W6" s="30" t="n"/>
      <c r="X6" s="30" t="n"/>
      <c r="Y6" s="30" t="n"/>
      <c r="Z6" s="30" t="n"/>
      <c r="AA6" s="30" t="n"/>
      <c r="AB6" s="32">
        <f>COUNTA(D6:I6)+COUNTA(V6:AA6)</f>
        <v/>
      </c>
      <c r="AC6" s="32">
        <f>COUNTIF(D6:I6,"희생플라이")+COUNTIF(V6:AA6,"희생플라이")</f>
        <v/>
      </c>
      <c r="AD6" s="32">
        <f>COUNTIF(D6:I6,"희생번트")+COUNTIF(V6:AA6,"희생번트")</f>
        <v/>
      </c>
      <c r="AE6" s="32">
        <f>AM6+2*O6+3*P6+4*Q6</f>
        <v/>
      </c>
      <c r="AF6" s="34">
        <f>IF(AB6=0,"",IF(M6+R6+S6+AC6=0,"n.a.",(N6+R6+S6)/(M6+R6+S6+AC6)))</f>
        <v/>
      </c>
      <c r="AG6" s="34">
        <f>IF(AB6=0,"",IF(M6=0,"n.a.",AE6/M6))</f>
        <v/>
      </c>
      <c r="AH6" s="34">
        <f>IF(AB6=0,"",IF(AND(ISNUMBER(AF6),ISNUMBER(AG6)),AF6+AG6,"n.a."))</f>
        <v/>
      </c>
      <c r="AI6" s="32">
        <f>COUNTIF(D6:I6,"포수방해")+COUNTIF(V6:AA6,"포수방해")</f>
        <v/>
      </c>
      <c r="AJ6" s="32">
        <f>COUNTIF(D6:I6,"병살")+COUNTIF(V6:AA6,"병살")</f>
        <v/>
      </c>
      <c r="AK6" s="32">
        <f>COUNTIF(D6:I6,"실책출루")+COUNTIF(V6:AA6,"실책출루")</f>
        <v/>
      </c>
      <c r="AL6" s="32">
        <f>COUNTIF(D6:I6,"야수선택")+COUNTIF(V6:AA6,"야수선택")</f>
        <v/>
      </c>
      <c r="AM6" s="32">
        <f>COUNTIF(D6:I6,"안타")+COUNTIF(V6:AA6,"안타")</f>
        <v/>
      </c>
      <c r="AN6" s="35">
        <f>IF(AB6=0,"",R6/AB6)</f>
        <v/>
      </c>
      <c r="AO6" s="35">
        <f>IF(AB6=0,"",T6/AB6)</f>
        <v/>
      </c>
    </row>
    <row r="7" ht="24.75" customHeight="1" s="70">
      <c r="A7" s="12" t="n">
        <v>6</v>
      </c>
      <c r="B7" s="12" t="inlineStr">
        <is>
          <t>바선수</t>
        </is>
      </c>
      <c r="C7" s="12" t="inlineStr">
        <is>
          <t>LF</t>
        </is>
      </c>
      <c r="D7" s="12" t="inlineStr">
        <is>
          <t>야수선택</t>
        </is>
      </c>
      <c r="E7" s="12" t="inlineStr">
        <is>
          <t>땅볼</t>
        </is>
      </c>
      <c r="F7" s="12" t="inlineStr">
        <is>
          <t>안타</t>
        </is>
      </c>
      <c r="G7" s="12" t="n"/>
      <c r="H7" s="12" t="n"/>
      <c r="I7" s="12" t="n"/>
      <c r="J7" s="12" t="n">
        <v>0</v>
      </c>
      <c r="K7" s="12" t="n">
        <v>0</v>
      </c>
      <c r="L7" s="12" t="n">
        <v>1</v>
      </c>
      <c r="M7" s="28">
        <f>AB7-R7-S7-AC7-AD7-AI7</f>
        <v/>
      </c>
      <c r="N7" s="28">
        <f>SUM(O7:Q7)+AM7</f>
        <v/>
      </c>
      <c r="O7" s="28">
        <f>COUNTIF(D7:I7,"2루타")+COUNTIF(V7:AA7,"2루타")</f>
        <v/>
      </c>
      <c r="P7" s="28">
        <f>COUNTIF(D7:I7,"3루타")+COUNTIF(V7:AA7,"3루타")</f>
        <v/>
      </c>
      <c r="Q7" s="28">
        <f>COUNTIF(D7:I7,"홈런")+COUNTIF(V7:AA7,"홈런")</f>
        <v/>
      </c>
      <c r="R7" s="28">
        <f>COUNTIF(D7:I7,"볼넷")+COUNTIF(V7:AA7,"볼넷")</f>
        <v/>
      </c>
      <c r="S7" s="28">
        <f>COUNTIF(D7:I7,"사구")+COUNTIF(V7:AA7,"사구")</f>
        <v/>
      </c>
      <c r="T7" s="28">
        <f>COUNTIF(D7:I7,"삼진")+COUNTIF(V7:AA7,"삼진")+COUNTIF(D7:I7,"루킹삼진")+COUNTIF(V7:AA7,"루킹삼진")+COUNTIF(D7:I7,"낫아웃출루")+COUNTIF(V7:AA7,"낫아웃출루")</f>
        <v/>
      </c>
      <c r="U7" s="33">
        <f>IF(AB7=0,"",IF(M7=0,"n.a.",N7/M7))</f>
        <v/>
      </c>
      <c r="V7" s="30" t="n"/>
      <c r="W7" s="30" t="n"/>
      <c r="X7" s="30" t="n"/>
      <c r="Y7" s="30" t="n"/>
      <c r="Z7" s="30" t="n"/>
      <c r="AA7" s="30" t="n"/>
      <c r="AB7" s="32">
        <f>COUNTA(D7:I7)+COUNTA(V7:AA7)</f>
        <v/>
      </c>
      <c r="AC7" s="32">
        <f>COUNTIF(D7:I7,"희생플라이")+COUNTIF(V7:AA7,"희생플라이")</f>
        <v/>
      </c>
      <c r="AD7" s="32">
        <f>COUNTIF(D7:I7,"희생번트")+COUNTIF(V7:AA7,"희생번트")</f>
        <v/>
      </c>
      <c r="AE7" s="32">
        <f>AM7+2*O7+3*P7+4*Q7</f>
        <v/>
      </c>
      <c r="AF7" s="34">
        <f>IF(AB7=0,"",IF(M7+R7+S7+AC7=0,"n.a.",(N7+R7+S7)/(M7+R7+S7+AC7)))</f>
        <v/>
      </c>
      <c r="AG7" s="34">
        <f>IF(AB7=0,"",IF(M7=0,"n.a.",AE7/M7))</f>
        <v/>
      </c>
      <c r="AH7" s="34">
        <f>IF(AB7=0,"",IF(AND(ISNUMBER(AF7),ISNUMBER(AG7)),AF7+AG7,"n.a."))</f>
        <v/>
      </c>
      <c r="AI7" s="32">
        <f>COUNTIF(D7:I7,"포수방해")+COUNTIF(V7:AA7,"포수방해")</f>
        <v/>
      </c>
      <c r="AJ7" s="32">
        <f>COUNTIF(D7:I7,"병살")+COUNTIF(V7:AA7,"병살")</f>
        <v/>
      </c>
      <c r="AK7" s="32">
        <f>COUNTIF(D7:I7,"실책출루")+COUNTIF(V7:AA7,"실책출루")</f>
        <v/>
      </c>
      <c r="AL7" s="32">
        <f>COUNTIF(D7:I7,"야수선택")+COUNTIF(V7:AA7,"야수선택")</f>
        <v/>
      </c>
      <c r="AM7" s="32">
        <f>COUNTIF(D7:I7,"안타")+COUNTIF(V7:AA7,"안타")</f>
        <v/>
      </c>
      <c r="AN7" s="35">
        <f>IF(AB7=0,"",R7/AB7)</f>
        <v/>
      </c>
      <c r="AO7" s="35">
        <f>IF(AB7=0,"",T7/AB7)</f>
        <v/>
      </c>
    </row>
    <row r="8" ht="24.75" customHeight="1" s="70">
      <c r="A8" s="12" t="n">
        <v>7</v>
      </c>
      <c r="B8" s="12" t="inlineStr">
        <is>
          <t>사선수</t>
        </is>
      </c>
      <c r="C8" s="12" t="inlineStr">
        <is>
          <t>RF</t>
        </is>
      </c>
      <c r="D8" s="12" t="inlineStr">
        <is>
          <t>뜬공</t>
        </is>
      </c>
      <c r="E8" s="12" t="inlineStr">
        <is>
          <t>삼진</t>
        </is>
      </c>
      <c r="F8" s="12" t="inlineStr">
        <is>
          <t>볼넷</t>
        </is>
      </c>
      <c r="G8" s="12" t="n"/>
      <c r="H8" s="12" t="n"/>
      <c r="I8" s="12" t="n"/>
      <c r="J8" s="12" t="n">
        <v>0</v>
      </c>
      <c r="K8" s="12" t="n">
        <v>0</v>
      </c>
      <c r="L8" s="12" t="n">
        <v>0</v>
      </c>
      <c r="M8" s="28">
        <f>AB8-R8-S8-AC8-AD8-AI8</f>
        <v/>
      </c>
      <c r="N8" s="28">
        <f>SUM(O8:Q8)+AM8</f>
        <v/>
      </c>
      <c r="O8" s="28">
        <f>COUNTIF(D8:I8,"2루타")+COUNTIF(V8:AA8,"2루타")</f>
        <v/>
      </c>
      <c r="P8" s="28">
        <f>COUNTIF(D8:I8,"3루타")+COUNTIF(V8:AA8,"3루타")</f>
        <v/>
      </c>
      <c r="Q8" s="28">
        <f>COUNTIF(D8:I8,"홈런")+COUNTIF(V8:AA8,"홈런")</f>
        <v/>
      </c>
      <c r="R8" s="28">
        <f>COUNTIF(D8:I8,"볼넷")+COUNTIF(V8:AA8,"볼넷")</f>
        <v/>
      </c>
      <c r="S8" s="28">
        <f>COUNTIF(D8:I8,"사구")+COUNTIF(V8:AA8,"사구")</f>
        <v/>
      </c>
      <c r="T8" s="28">
        <f>COUNTIF(D8:I8,"삼진")+COUNTIF(V8:AA8,"삼진")+COUNTIF(D8:I8,"루킹삼진")+COUNTIF(V8:AA8,"루킹삼진")+COUNTIF(D8:I8,"낫아웃출루")+COUNTIF(V8:AA8,"낫아웃출루")</f>
        <v/>
      </c>
      <c r="U8" s="33">
        <f>IF(AB8=0,"",IF(M8=0,"n.a.",N8/M8))</f>
        <v/>
      </c>
      <c r="V8" s="30" t="n"/>
      <c r="W8" s="30" t="n"/>
      <c r="X8" s="30" t="n"/>
      <c r="Y8" s="30" t="n"/>
      <c r="Z8" s="30" t="n"/>
      <c r="AA8" s="30" t="n"/>
      <c r="AB8" s="32">
        <f>COUNTA(D8:I8)+COUNTA(V8:AA8)</f>
        <v/>
      </c>
      <c r="AC8" s="32">
        <f>COUNTIF(D8:I8,"희생플라이")+COUNTIF(V8:AA8,"희생플라이")</f>
        <v/>
      </c>
      <c r="AD8" s="32">
        <f>COUNTIF(D8:I8,"희생번트")+COUNTIF(V8:AA8,"희생번트")</f>
        <v/>
      </c>
      <c r="AE8" s="32">
        <f>AM8+2*O8+3*P8+4*Q8</f>
        <v/>
      </c>
      <c r="AF8" s="34">
        <f>IF(AB8=0,"",IF(M8+R8+S8+AC8=0,"n.a.",(N8+R8+S8)/(M8+R8+S8+AC8)))</f>
        <v/>
      </c>
      <c r="AG8" s="34">
        <f>IF(AB8=0,"",IF(M8=0,"n.a.",AE8/M8))</f>
        <v/>
      </c>
      <c r="AH8" s="34">
        <f>IF(AB8=0,"",IF(AND(ISNUMBER(AF8),ISNUMBER(AG8)),AF8+AG8,"n.a."))</f>
        <v/>
      </c>
      <c r="AI8" s="32">
        <f>COUNTIF(D8:I8,"포수방해")+COUNTIF(V8:AA8,"포수방해")</f>
        <v/>
      </c>
      <c r="AJ8" s="32">
        <f>COUNTIF(D8:I8,"병살")+COUNTIF(V8:AA8,"병살")</f>
        <v/>
      </c>
      <c r="AK8" s="32">
        <f>COUNTIF(D8:I8,"실책출루")+COUNTIF(V8:AA8,"실책출루")</f>
        <v/>
      </c>
      <c r="AL8" s="32">
        <f>COUNTIF(D8:I8,"야수선택")+COUNTIF(V8:AA8,"야수선택")</f>
        <v/>
      </c>
      <c r="AM8" s="32">
        <f>COUNTIF(D8:I8,"안타")+COUNTIF(V8:AA8,"안타")</f>
        <v/>
      </c>
      <c r="AN8" s="35">
        <f>IF(AB8=0,"",R8/AB8)</f>
        <v/>
      </c>
      <c r="AO8" s="35">
        <f>IF(AB8=0,"",T8/AB8)</f>
        <v/>
      </c>
    </row>
    <row r="9" ht="24.75" customHeight="1" s="70">
      <c r="A9" s="12" t="n">
        <v>8</v>
      </c>
      <c r="B9" s="12" t="inlineStr">
        <is>
          <t>아선수</t>
        </is>
      </c>
      <c r="C9" s="12" t="inlineStr">
        <is>
          <t>2B</t>
        </is>
      </c>
      <c r="D9" s="12" t="inlineStr">
        <is>
          <t>땅볼</t>
        </is>
      </c>
      <c r="E9" s="12" t="inlineStr">
        <is>
          <t>2루타</t>
        </is>
      </c>
      <c r="F9" s="12" t="inlineStr">
        <is>
          <t>안타</t>
        </is>
      </c>
      <c r="G9" s="12" t="n"/>
      <c r="H9" s="12" t="n"/>
      <c r="I9" s="12" t="n"/>
      <c r="J9" s="12" t="n">
        <v>1</v>
      </c>
      <c r="K9" s="12" t="n">
        <v>0</v>
      </c>
      <c r="L9" s="12" t="n">
        <v>0</v>
      </c>
      <c r="M9" s="28">
        <f>AB9-R9-S9-AC9-AD9-AI9</f>
        <v/>
      </c>
      <c r="N9" s="28">
        <f>SUM(O9:Q9)+AM9</f>
        <v/>
      </c>
      <c r="O9" s="28">
        <f>COUNTIF(D9:I9,"2루타")+COUNTIF(V9:AA9,"2루타")</f>
        <v/>
      </c>
      <c r="P9" s="28">
        <f>COUNTIF(D9:I9,"3루타")+COUNTIF(V9:AA9,"3루타")</f>
        <v/>
      </c>
      <c r="Q9" s="28">
        <f>COUNTIF(D9:I9,"홈런")+COUNTIF(V9:AA9,"홈런")</f>
        <v/>
      </c>
      <c r="R9" s="28">
        <f>COUNTIF(D9:I9,"볼넷")+COUNTIF(V9:AA9,"볼넷")</f>
        <v/>
      </c>
      <c r="S9" s="28">
        <f>COUNTIF(D9:I9,"사구")+COUNTIF(V9:AA9,"사구")</f>
        <v/>
      </c>
      <c r="T9" s="28">
        <f>COUNTIF(D9:I9,"삼진")+COUNTIF(V9:AA9,"삼진")+COUNTIF(D9:I9,"루킹삼진")+COUNTIF(V9:AA9,"루킹삼진")+COUNTIF(D9:I9,"낫아웃출루")+COUNTIF(V9:AA9,"낫아웃출루")</f>
        <v/>
      </c>
      <c r="U9" s="33">
        <f>IF(AB9=0,"",IF(M9=0,"n.a.",N9/M9))</f>
        <v/>
      </c>
      <c r="V9" s="30" t="n"/>
      <c r="W9" s="30" t="n"/>
      <c r="X9" s="30" t="n"/>
      <c r="Y9" s="30" t="n"/>
      <c r="Z9" s="30" t="n"/>
      <c r="AA9" s="30" t="n"/>
      <c r="AB9" s="32">
        <f>COUNTA(D9:I9)+COUNTA(V9:AA9)</f>
        <v/>
      </c>
      <c r="AC9" s="32">
        <f>COUNTIF(D9:I9,"희생플라이")+COUNTIF(V9:AA9,"희생플라이")</f>
        <v/>
      </c>
      <c r="AD9" s="32">
        <f>COUNTIF(D9:I9,"희생번트")+COUNTIF(V9:AA9,"희생번트")</f>
        <v/>
      </c>
      <c r="AE9" s="32">
        <f>AM9+2*O9+3*P9+4*Q9</f>
        <v/>
      </c>
      <c r="AF9" s="34">
        <f>IF(AB9=0,"",IF(M9+R9+S9+AC9=0,"n.a.",(N9+R9+S9)/(M9+R9+S9+AC9)))</f>
        <v/>
      </c>
      <c r="AG9" s="34">
        <f>IF(AB9=0,"",IF(M9=0,"n.a.",AE9/M9))</f>
        <v/>
      </c>
      <c r="AH9" s="34">
        <f>IF(AB9=0,"",IF(AND(ISNUMBER(AF9),ISNUMBER(AG9)),AF9+AG9,"n.a."))</f>
        <v/>
      </c>
      <c r="AI9" s="32">
        <f>COUNTIF(D9:I9,"포수방해")+COUNTIF(V9:AA9,"포수방해")</f>
        <v/>
      </c>
      <c r="AJ9" s="32">
        <f>COUNTIF(D9:I9,"병살")+COUNTIF(V9:AA9,"병살")</f>
        <v/>
      </c>
      <c r="AK9" s="32">
        <f>COUNTIF(D9:I9,"실책출루")+COUNTIF(V9:AA9,"실책출루")</f>
        <v/>
      </c>
      <c r="AL9" s="32">
        <f>COUNTIF(D9:I9,"야수선택")+COUNTIF(V9:AA9,"야수선택")</f>
        <v/>
      </c>
      <c r="AM9" s="32">
        <f>COUNTIF(D9:I9,"안타")+COUNTIF(V9:AA9,"안타")</f>
        <v/>
      </c>
      <c r="AN9" s="35">
        <f>IF(AB9=0,"",R9/AB9)</f>
        <v/>
      </c>
      <c r="AO9" s="35">
        <f>IF(AB9=0,"",T9/AB9)</f>
        <v/>
      </c>
    </row>
    <row r="10" ht="24.75" customHeight="1" s="70">
      <c r="A10" s="12" t="n">
        <v>9</v>
      </c>
      <c r="B10" s="12" t="inlineStr">
        <is>
          <t>자선수</t>
        </is>
      </c>
      <c r="C10" s="12" t="inlineStr">
        <is>
          <t>DH</t>
        </is>
      </c>
      <c r="D10" s="12" t="inlineStr">
        <is>
          <t>삼진</t>
        </is>
      </c>
      <c r="E10" s="12" t="inlineStr">
        <is>
          <t>뜬공</t>
        </is>
      </c>
      <c r="F10" s="12" t="n"/>
      <c r="G10" s="12" t="n"/>
      <c r="H10" s="12" t="n"/>
      <c r="I10" s="12" t="n"/>
      <c r="J10" s="12" t="n">
        <v>0</v>
      </c>
      <c r="K10" s="12" t="n">
        <v>0</v>
      </c>
      <c r="L10" s="12" t="n">
        <v>0</v>
      </c>
      <c r="M10" s="28">
        <f>AB10-R10-S10-AC10-AD10-AI10</f>
        <v/>
      </c>
      <c r="N10" s="28">
        <f>SUM(O10:Q10)+AM10</f>
        <v/>
      </c>
      <c r="O10" s="28">
        <f>COUNTIF(D10:I10,"2루타")+COUNTIF(V10:AA10,"2루타")</f>
        <v/>
      </c>
      <c r="P10" s="28">
        <f>COUNTIF(D10:I10,"3루타")+COUNTIF(V10:AA10,"3루타")</f>
        <v/>
      </c>
      <c r="Q10" s="28">
        <f>COUNTIF(D10:I10,"홈런")+COUNTIF(V10:AA10,"홈런")</f>
        <v/>
      </c>
      <c r="R10" s="28">
        <f>COUNTIF(D10:I10,"볼넷")+COUNTIF(V10:AA10,"볼넷")</f>
        <v/>
      </c>
      <c r="S10" s="28">
        <f>COUNTIF(D10:I10,"사구")+COUNTIF(V10:AA10,"사구")</f>
        <v/>
      </c>
      <c r="T10" s="28">
        <f>COUNTIF(D10:I10,"삼진")+COUNTIF(V10:AA10,"삼진")+COUNTIF(D10:I10,"루킹삼진")+COUNTIF(V10:AA10,"루킹삼진")+COUNTIF(D10:I10,"낫아웃출루")+COUNTIF(V10:AA10,"낫아웃출루")</f>
        <v/>
      </c>
      <c r="U10" s="33">
        <f>IF(AB10=0,"",IF(M10=0,"n.a.",N10/M10))</f>
        <v/>
      </c>
      <c r="V10" s="30" t="n"/>
      <c r="W10" s="30" t="n"/>
      <c r="X10" s="30" t="n"/>
      <c r="Y10" s="30" t="n"/>
      <c r="Z10" s="30" t="n"/>
      <c r="AA10" s="30" t="n"/>
      <c r="AB10" s="32">
        <f>COUNTA(D10:I10)+COUNTA(V10:AA10)</f>
        <v/>
      </c>
      <c r="AC10" s="32">
        <f>COUNTIF(D10:I10,"희생플라이")+COUNTIF(V10:AA10,"희생플라이")</f>
        <v/>
      </c>
      <c r="AD10" s="32">
        <f>COUNTIF(D10:I10,"희생번트")+COUNTIF(V10:AA10,"희생번트")</f>
        <v/>
      </c>
      <c r="AE10" s="32">
        <f>AM10+2*O10+3*P10+4*Q10</f>
        <v/>
      </c>
      <c r="AF10" s="34">
        <f>IF(AB10=0,"",IF(M10+R10+S10+AC10=0,"n.a.",(N10+R10+S10)/(M10+R10+S10+AC10)))</f>
        <v/>
      </c>
      <c r="AG10" s="34">
        <f>IF(AB10=0,"",IF(M10=0,"n.a.",AE10/M10))</f>
        <v/>
      </c>
      <c r="AH10" s="34">
        <f>IF(AB10=0,"",IF(AND(ISNUMBER(AF10),ISNUMBER(AG10)),AF10+AG10,"n.a."))</f>
        <v/>
      </c>
      <c r="AI10" s="32">
        <f>COUNTIF(D10:I10,"포수방해")+COUNTIF(V10:AA10,"포수방해")</f>
        <v/>
      </c>
      <c r="AJ10" s="32">
        <f>COUNTIF(D10:I10,"병살")+COUNTIF(V10:AA10,"병살")</f>
        <v/>
      </c>
      <c r="AK10" s="32">
        <f>COUNTIF(D10:I10,"실책출루")+COUNTIF(V10:AA10,"실책출루")</f>
        <v/>
      </c>
      <c r="AL10" s="32">
        <f>COUNTIF(D10:I10,"야수선택")+COUNTIF(V10:AA10,"야수선택")</f>
        <v/>
      </c>
      <c r="AM10" s="32">
        <f>COUNTIF(D10:I10,"안타")+COUNTIF(V10:AA10,"안타")</f>
        <v/>
      </c>
      <c r="AN10" s="35">
        <f>IF(AB10=0,"",R10/AB10)</f>
        <v/>
      </c>
      <c r="AO10" s="35">
        <f>IF(AB10=0,"",T10/AB10)</f>
        <v/>
      </c>
    </row>
    <row r="11" ht="24.75" customHeight="1" s="70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28">
        <f>AB11-R11-S11-AC11-AD11-AI11</f>
        <v/>
      </c>
      <c r="N11" s="28">
        <f>SUM(O11:Q11)+AM11</f>
        <v/>
      </c>
      <c r="O11" s="28">
        <f>COUNTIF(D11:I11,"2루타")+COUNTIF(V11:AA11,"2루타")</f>
        <v/>
      </c>
      <c r="P11" s="28">
        <f>COUNTIF(D11:I11,"3루타")+COUNTIF(V11:AA11,"3루타")</f>
        <v/>
      </c>
      <c r="Q11" s="28">
        <f>COUNTIF(D11:I11,"홈런")+COUNTIF(V11:AA11,"홈런")</f>
        <v/>
      </c>
      <c r="R11" s="28">
        <f>COUNTIF(D11:I11,"볼넷")+COUNTIF(V11:AA11,"볼넷")</f>
        <v/>
      </c>
      <c r="S11" s="28">
        <f>COUNTIF(D11:I11,"사구")+COUNTIF(V11:AA11,"사구")</f>
        <v/>
      </c>
      <c r="T11" s="28">
        <f>COUNTIF(D11:I11,"삼진")+COUNTIF(V11:AA11,"삼진")+COUNTIF(D11:I11,"루킹삼진")+COUNTIF(V11:AA11,"루킹삼진")+COUNTIF(D11:I11,"낫아웃출루")+COUNTIF(V11:AA11,"낫아웃출루")</f>
        <v/>
      </c>
      <c r="U11" s="33">
        <f>IF(AB11=0,"",IF(M11=0,"n.a.",N11/M11))</f>
        <v/>
      </c>
      <c r="V11" s="30" t="n"/>
      <c r="W11" s="30" t="n"/>
      <c r="X11" s="30" t="n"/>
      <c r="Y11" s="30" t="n"/>
      <c r="Z11" s="30" t="n"/>
      <c r="AA11" s="30" t="n"/>
      <c r="AB11" s="32">
        <f>COUNTA(D11:I11)+COUNTA(V11:AA11)</f>
        <v/>
      </c>
      <c r="AC11" s="32">
        <f>COUNTIF(D11:I11,"희생플라이")+COUNTIF(V11:AA11,"희생플라이")</f>
        <v/>
      </c>
      <c r="AD11" s="32">
        <f>COUNTIF(D11:I11,"희생번트")+COUNTIF(V11:AA11,"희생번트")</f>
        <v/>
      </c>
      <c r="AE11" s="32">
        <f>AM11+2*O11+3*P11+4*Q11</f>
        <v/>
      </c>
      <c r="AF11" s="34">
        <f>IF(AB11=0,"",IF(M11+R11+S11+AC11=0,"n.a.",(N11+R11+S11)/(M11+R11+S11+AC11)))</f>
        <v/>
      </c>
      <c r="AG11" s="34">
        <f>IF(AB11=0,"",IF(M11=0,"n.a.",AE11/M11))</f>
        <v/>
      </c>
      <c r="AH11" s="34">
        <f>IF(AB11=0,"",IF(AND(ISNUMBER(AF11),ISNUMBER(AG11)),AF11+AG11,"n.a."))</f>
        <v/>
      </c>
      <c r="AI11" s="32">
        <f>COUNTIF(D11:I11,"포수방해")+COUNTIF(V11:AA11,"포수방해")</f>
        <v/>
      </c>
      <c r="AJ11" s="32">
        <f>COUNTIF(D11:I11,"병살")+COUNTIF(V11:AA11,"병살")</f>
        <v/>
      </c>
      <c r="AK11" s="32">
        <f>COUNTIF(D11:I11,"실책출루")+COUNTIF(V11:AA11,"실책출루")</f>
        <v/>
      </c>
      <c r="AL11" s="32">
        <f>COUNTIF(D11:I11,"야수선택")+COUNTIF(V11:AA11,"야수선택")</f>
        <v/>
      </c>
      <c r="AM11" s="32">
        <f>COUNTIF(D11:I11,"안타")+COUNTIF(V11:AA11,"안타")</f>
        <v/>
      </c>
      <c r="AN11" s="35">
        <f>IF(AB11=0,"",R11/AB11)</f>
        <v/>
      </c>
      <c r="AO11" s="35">
        <f>IF(AB11=0,"",T11/AB11)</f>
        <v/>
      </c>
    </row>
    <row r="12" ht="24.75" customHeight="1" s="70">
      <c r="A12" s="12" t="n">
        <v>9</v>
      </c>
      <c r="B12" s="12" t="inlineStr">
        <is>
          <t>차선수</t>
        </is>
      </c>
      <c r="C12" s="12" t="inlineStr">
        <is>
          <t>PH</t>
        </is>
      </c>
      <c r="D12" s="12" t="inlineStr">
        <is>
          <t>안타</t>
        </is>
      </c>
      <c r="E12" s="12" t="n"/>
      <c r="F12" s="12" t="n"/>
      <c r="G12" s="12" t="n"/>
      <c r="H12" s="12" t="n"/>
      <c r="I12" s="12" t="n"/>
      <c r="J12" s="12" t="n">
        <v>0</v>
      </c>
      <c r="K12" s="12" t="n">
        <v>0</v>
      </c>
      <c r="L12" s="12" t="n">
        <v>0</v>
      </c>
      <c r="M12" s="28">
        <f>AB12-R12-S12-AC12-AD12-AI12</f>
        <v/>
      </c>
      <c r="N12" s="28">
        <f>SUM(O12:Q12)+AM12</f>
        <v/>
      </c>
      <c r="O12" s="28">
        <f>COUNTIF(D12:I12,"2루타")+COUNTIF(V12:AA12,"2루타")</f>
        <v/>
      </c>
      <c r="P12" s="28">
        <f>COUNTIF(D12:I12,"3루타")+COUNTIF(V12:AA12,"3루타")</f>
        <v/>
      </c>
      <c r="Q12" s="28">
        <f>COUNTIF(D12:I12,"홈런")+COUNTIF(V12:AA12,"홈런")</f>
        <v/>
      </c>
      <c r="R12" s="28">
        <f>COUNTIF(D12:I12,"볼넷")+COUNTIF(V12:AA12,"볼넷")</f>
        <v/>
      </c>
      <c r="S12" s="28">
        <f>COUNTIF(D12:I12,"사구")+COUNTIF(V12:AA12,"사구")</f>
        <v/>
      </c>
      <c r="T12" s="28">
        <f>COUNTIF(D12:I12,"삼진")+COUNTIF(V12:AA12,"삼진")+COUNTIF(D12:I12,"루킹삼진")+COUNTIF(V12:AA12,"루킹삼진")+COUNTIF(D12:I12,"낫아웃출루")+COUNTIF(V12:AA12,"낫아웃출루")</f>
        <v/>
      </c>
      <c r="U12" s="33">
        <f>IF(AB12=0,"",IF(M12=0,"n.a.",N12/M12))</f>
        <v/>
      </c>
      <c r="V12" s="30" t="n"/>
      <c r="W12" s="30" t="n"/>
      <c r="X12" s="30" t="n"/>
      <c r="Y12" s="30" t="n"/>
      <c r="Z12" s="30" t="n"/>
      <c r="AA12" s="30" t="n"/>
      <c r="AB12" s="32">
        <f>COUNTA(D12:I12)+COUNTA(V12:AA12)</f>
        <v/>
      </c>
      <c r="AC12" s="32">
        <f>COUNTIF(D12:I12,"희생플라이")+COUNTIF(V12:AA12,"희생플라이")</f>
        <v/>
      </c>
      <c r="AD12" s="32">
        <f>COUNTIF(D12:I12,"희생번트")+COUNTIF(V12:AA12,"희생번트")</f>
        <v/>
      </c>
      <c r="AE12" s="32">
        <f>AM12+2*O12+3*P12+4*Q12</f>
        <v/>
      </c>
      <c r="AF12" s="34">
        <f>IF(AB12=0,"",IF(M12+R12+S12+AC12=0,"n.a.",(N12+R12+S12)/(M12+R12+S12+AC12)))</f>
        <v/>
      </c>
      <c r="AG12" s="34">
        <f>IF(AB12=0,"",IF(M12=0,"n.a.",AE12/M12))</f>
        <v/>
      </c>
      <c r="AH12" s="34">
        <f>IF(AB12=0,"",IF(AND(ISNUMBER(AF12),ISNUMBER(AG12)),AF12+AG12,"n.a."))</f>
        <v/>
      </c>
      <c r="AI12" s="32">
        <f>COUNTIF(D12:I12,"포수방해")+COUNTIF(V12:AA12,"포수방해")</f>
        <v/>
      </c>
      <c r="AJ12" s="32">
        <f>COUNTIF(D12:I12,"병살")+COUNTIF(V12:AA12,"병살")</f>
        <v/>
      </c>
      <c r="AK12" s="32">
        <f>COUNTIF(D12:I12,"실책출루")+COUNTIF(V12:AA12,"실책출루")</f>
        <v/>
      </c>
      <c r="AL12" s="32">
        <f>COUNTIF(D12:I12,"야수선택")+COUNTIF(V12:AA12,"야수선택")</f>
        <v/>
      </c>
      <c r="AM12" s="32">
        <f>COUNTIF(D12:I12,"안타")+COUNTIF(V12:AA12,"안타")</f>
        <v/>
      </c>
      <c r="AN12" s="35">
        <f>IF(AB12=0,"",R12/AB12)</f>
        <v/>
      </c>
      <c r="AO12" s="35">
        <f>IF(AB12=0,"",T12/AB12)</f>
        <v/>
      </c>
    </row>
    <row r="13" ht="24.75" customHeight="1" s="70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28">
        <f>AB13-R13-S13-AC13-AD13-AI13</f>
        <v/>
      </c>
      <c r="N13" s="28">
        <f>SUM(O13:Q13)+AM13</f>
        <v/>
      </c>
      <c r="O13" s="28">
        <f>COUNTIF(D13:I13,"2루타")+COUNTIF(V13:AA13,"2루타")</f>
        <v/>
      </c>
      <c r="P13" s="28">
        <f>COUNTIF(D13:I13,"3루타")+COUNTIF(V13:AA13,"3루타")</f>
        <v/>
      </c>
      <c r="Q13" s="28">
        <f>COUNTIF(D13:I13,"홈런")+COUNTIF(V13:AA13,"홈런")</f>
        <v/>
      </c>
      <c r="R13" s="28">
        <f>COUNTIF(D13:I13,"볼넷")+COUNTIF(V13:AA13,"볼넷")</f>
        <v/>
      </c>
      <c r="S13" s="28">
        <f>COUNTIF(D13:I13,"사구")+COUNTIF(V13:AA13,"사구")</f>
        <v/>
      </c>
      <c r="T13" s="28">
        <f>COUNTIF(D13:I13,"삼진")+COUNTIF(V13:AA13,"삼진")+COUNTIF(D13:I13,"루킹삼진")+COUNTIF(V13:AA13,"루킹삼진")+COUNTIF(D13:I13,"낫아웃출루")+COUNTIF(V13:AA13,"낫아웃출루")</f>
        <v/>
      </c>
      <c r="U13" s="33">
        <f>IF(AB13=0,"",IF(M13=0,"n.a.",N13/M13))</f>
        <v/>
      </c>
      <c r="V13" s="30" t="n"/>
      <c r="W13" s="30" t="n"/>
      <c r="X13" s="30" t="n"/>
      <c r="Y13" s="30" t="n"/>
      <c r="Z13" s="30" t="n"/>
      <c r="AA13" s="30" t="n"/>
      <c r="AB13" s="32">
        <f>COUNTA(D13:I13)+COUNTA(V13:AA13)</f>
        <v/>
      </c>
      <c r="AC13" s="32">
        <f>COUNTIF(D13:I13,"희생플라이")+COUNTIF(V13:AA13,"희생플라이")</f>
        <v/>
      </c>
      <c r="AD13" s="32">
        <f>COUNTIF(D13:I13,"희생번트")+COUNTIF(V13:AA13,"희생번트")</f>
        <v/>
      </c>
      <c r="AE13" s="32">
        <f>AM13+2*O13+3*P13+4*Q13</f>
        <v/>
      </c>
      <c r="AF13" s="34">
        <f>IF(AB13=0,"",IF(M13+R13+S13+AC13=0,"n.a.",(N13+R13+S13)/(M13+R13+S13+AC13)))</f>
        <v/>
      </c>
      <c r="AG13" s="34">
        <f>IF(AB13=0,"",IF(M13=0,"n.a.",AE13/M13))</f>
        <v/>
      </c>
      <c r="AH13" s="34">
        <f>IF(AB13=0,"",IF(AND(ISNUMBER(AF13),ISNUMBER(AG13)),AF13+AG13,"n.a."))</f>
        <v/>
      </c>
      <c r="AI13" s="32">
        <f>COUNTIF(D13:I13,"포수방해")+COUNTIF(V13:AA13,"포수방해")</f>
        <v/>
      </c>
      <c r="AJ13" s="32">
        <f>COUNTIF(D13:I13,"병살")+COUNTIF(V13:AA13,"병살")</f>
        <v/>
      </c>
      <c r="AK13" s="32">
        <f>COUNTIF(D13:I13,"실책출루")+COUNTIF(V13:AA13,"실책출루")</f>
        <v/>
      </c>
      <c r="AL13" s="32">
        <f>COUNTIF(D13:I13,"야수선택")+COUNTIF(V13:AA13,"야수선택")</f>
        <v/>
      </c>
      <c r="AM13" s="32">
        <f>COUNTIF(D13:I13,"안타")+COUNTIF(V13:AA13,"안타")</f>
        <v/>
      </c>
      <c r="AN13" s="35">
        <f>IF(AB13=0,"",R13/AB13)</f>
        <v/>
      </c>
      <c r="AO13" s="35">
        <f>IF(AB13=0,"",T13/AB13)</f>
        <v/>
      </c>
    </row>
    <row r="14" ht="24.75" customHeight="1" s="70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28">
        <f>AB14-R14-S14-AC14-AD14-AI14</f>
        <v/>
      </c>
      <c r="N14" s="28">
        <f>SUM(O14:Q14)+AM14</f>
        <v/>
      </c>
      <c r="O14" s="28">
        <f>COUNTIF(D14:I14,"2루타")+COUNTIF(V14:AA14,"2루타")</f>
        <v/>
      </c>
      <c r="P14" s="28">
        <f>COUNTIF(D14:I14,"3루타")+COUNTIF(V14:AA14,"3루타")</f>
        <v/>
      </c>
      <c r="Q14" s="28">
        <f>COUNTIF(D14:I14,"홈런")+COUNTIF(V14:AA14,"홈런")</f>
        <v/>
      </c>
      <c r="R14" s="28">
        <f>COUNTIF(D14:I14,"볼넷")+COUNTIF(V14:AA14,"볼넷")</f>
        <v/>
      </c>
      <c r="S14" s="28">
        <f>COUNTIF(D14:I14,"사구")+COUNTIF(V14:AA14,"사구")</f>
        <v/>
      </c>
      <c r="T14" s="28">
        <f>COUNTIF(D14:I14,"삼진")+COUNTIF(V14:AA14,"삼진")+COUNTIF(D14:I14,"루킹삼진")+COUNTIF(V14:AA14,"루킹삼진")+COUNTIF(D14:I14,"낫아웃출루")+COUNTIF(V14:AA14,"낫아웃출루")</f>
        <v/>
      </c>
      <c r="U14" s="33">
        <f>IF(AB14=0,"",IF(M14=0,"n.a.",N14/M14))</f>
        <v/>
      </c>
      <c r="V14" s="30" t="n"/>
      <c r="W14" s="30" t="n"/>
      <c r="X14" s="30" t="n"/>
      <c r="Y14" s="30" t="n"/>
      <c r="Z14" s="30" t="n"/>
      <c r="AA14" s="30" t="n"/>
      <c r="AB14" s="32">
        <f>COUNTA(D14:I14)+COUNTA(V14:AA14)</f>
        <v/>
      </c>
      <c r="AC14" s="32">
        <f>COUNTIF(D14:I14,"희생플라이")+COUNTIF(V14:AA14,"희생플라이")</f>
        <v/>
      </c>
      <c r="AD14" s="32">
        <f>COUNTIF(D14:I14,"희생번트")+COUNTIF(V14:AA14,"희생번트")</f>
        <v/>
      </c>
      <c r="AE14" s="32">
        <f>AM14+2*O14+3*P14+4*Q14</f>
        <v/>
      </c>
      <c r="AF14" s="34">
        <f>IF(AB14=0,"",IF(M14+R14+S14+AC14=0,"n.a.",(N14+R14+S14)/(M14+R14+S14+AC14)))</f>
        <v/>
      </c>
      <c r="AG14" s="34">
        <f>IF(AB14=0,"",IF(M14=0,"n.a.",AE14/M14))</f>
        <v/>
      </c>
      <c r="AH14" s="34">
        <f>IF(AB14=0,"",IF(AND(ISNUMBER(AF14),ISNUMBER(AG14)),AF14+AG14,"n.a."))</f>
        <v/>
      </c>
      <c r="AI14" s="32">
        <f>COUNTIF(D14:I14,"포수방해")+COUNTIF(V14:AA14,"포수방해")</f>
        <v/>
      </c>
      <c r="AJ14" s="32">
        <f>COUNTIF(D14:I14,"병살")+COUNTIF(V14:AA14,"병살")</f>
        <v/>
      </c>
      <c r="AK14" s="32">
        <f>COUNTIF(D14:I14,"실책출루")+COUNTIF(V14:AA14,"실책출루")</f>
        <v/>
      </c>
      <c r="AL14" s="32">
        <f>COUNTIF(D14:I14,"야수선택")+COUNTIF(V14:AA14,"야수선택")</f>
        <v/>
      </c>
      <c r="AM14" s="32">
        <f>COUNTIF(D14:I14,"안타")+COUNTIF(V14:AA14,"안타")</f>
        <v/>
      </c>
      <c r="AN14" s="35">
        <f>IF(AB14=0,"",R14/AB14)</f>
        <v/>
      </c>
      <c r="AO14" s="35">
        <f>IF(AB14=0,"",T14/AB14)</f>
        <v/>
      </c>
    </row>
    <row r="15" ht="24.75" customHeight="1" s="70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28">
        <f>AB15-R15-S15-AC15-AD15-AI15</f>
        <v/>
      </c>
      <c r="N15" s="28">
        <f>SUM(O15:Q15)+AM15</f>
        <v/>
      </c>
      <c r="O15" s="28">
        <f>COUNTIF(D15:I15,"2루타")+COUNTIF(V15:AA15,"2루타")</f>
        <v/>
      </c>
      <c r="P15" s="28">
        <f>COUNTIF(D15:I15,"3루타")+COUNTIF(V15:AA15,"3루타")</f>
        <v/>
      </c>
      <c r="Q15" s="28">
        <f>COUNTIF(D15:I15,"홈런")+COUNTIF(V15:AA15,"홈런")</f>
        <v/>
      </c>
      <c r="R15" s="28">
        <f>COUNTIF(D15:I15,"볼넷")+COUNTIF(V15:AA15,"볼넷")</f>
        <v/>
      </c>
      <c r="S15" s="28">
        <f>COUNTIF(D15:I15,"사구")+COUNTIF(V15:AA15,"사구")</f>
        <v/>
      </c>
      <c r="T15" s="28">
        <f>COUNTIF(D15:I15,"삼진")+COUNTIF(V15:AA15,"삼진")+COUNTIF(D15:I15,"루킹삼진")+COUNTIF(V15:AA15,"루킹삼진")+COUNTIF(D15:I15,"낫아웃출루")+COUNTIF(V15:AA15,"낫아웃출루")</f>
        <v/>
      </c>
      <c r="U15" s="33">
        <f>IF(AB15=0,"",IF(M15=0,"n.a.",N15/M15))</f>
        <v/>
      </c>
      <c r="V15" s="30" t="n"/>
      <c r="W15" s="30" t="n"/>
      <c r="X15" s="30" t="n"/>
      <c r="Y15" s="30" t="n"/>
      <c r="Z15" s="30" t="n"/>
      <c r="AA15" s="30" t="n"/>
      <c r="AB15" s="32">
        <f>COUNTA(D15:I15)+COUNTA(V15:AA15)</f>
        <v/>
      </c>
      <c r="AC15" s="32">
        <f>COUNTIF(D15:I15,"희생플라이")+COUNTIF(V15:AA15,"희생플라이")</f>
        <v/>
      </c>
      <c r="AD15" s="32">
        <f>COUNTIF(D15:I15,"희생번트")+COUNTIF(V15:AA15,"희생번트")</f>
        <v/>
      </c>
      <c r="AE15" s="32">
        <f>AM15+2*O15+3*P15+4*Q15</f>
        <v/>
      </c>
      <c r="AF15" s="34">
        <f>IF(AB15=0,"",IF(M15+R15+S15+AC15=0,"n.a.",(N15+R15+S15)/(M15+R15+S15+AC15)))</f>
        <v/>
      </c>
      <c r="AG15" s="34">
        <f>IF(AB15=0,"",IF(M15=0,"n.a.",AE15/M15))</f>
        <v/>
      </c>
      <c r="AH15" s="34">
        <f>IF(AB15=0,"",IF(AND(ISNUMBER(AF15),ISNUMBER(AG15)),AF15+AG15,"n.a."))</f>
        <v/>
      </c>
      <c r="AI15" s="32">
        <f>COUNTIF(D15:I15,"포수방해")+COUNTIF(V15:AA15,"포수방해")</f>
        <v/>
      </c>
      <c r="AJ15" s="32">
        <f>COUNTIF(D15:I15,"병살")+COUNTIF(V15:AA15,"병살")</f>
        <v/>
      </c>
      <c r="AK15" s="32">
        <f>COUNTIF(D15:I15,"실책출루")+COUNTIF(V15:AA15,"실책출루")</f>
        <v/>
      </c>
      <c r="AL15" s="32">
        <f>COUNTIF(D15:I15,"야수선택")+COUNTIF(V15:AA15,"야수선택")</f>
        <v/>
      </c>
      <c r="AM15" s="32">
        <f>COUNTIF(D15:I15,"안타")+COUNTIF(V15:AA15,"안타")</f>
        <v/>
      </c>
      <c r="AN15" s="35">
        <f>IF(AB15=0,"",R15/AB15)</f>
        <v/>
      </c>
      <c r="AO15" s="35">
        <f>IF(AB15=0,"",T15/AB15)</f>
        <v/>
      </c>
    </row>
    <row r="16" ht="24.75" customHeight="1" s="70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28">
        <f>AB16-R16-S16-AC16-AD16-AI16</f>
        <v/>
      </c>
      <c r="N16" s="28">
        <f>SUM(O16:Q16)+AM16</f>
        <v/>
      </c>
      <c r="O16" s="28">
        <f>COUNTIF(D16:I16,"2루타")+COUNTIF(V16:AA16,"2루타")</f>
        <v/>
      </c>
      <c r="P16" s="28">
        <f>COUNTIF(D16:I16,"3루타")+COUNTIF(V16:AA16,"3루타")</f>
        <v/>
      </c>
      <c r="Q16" s="28">
        <f>COUNTIF(D16:I16,"홈런")+COUNTIF(V16:AA16,"홈런")</f>
        <v/>
      </c>
      <c r="R16" s="28">
        <f>COUNTIF(D16:I16,"볼넷")+COUNTIF(V16:AA16,"볼넷")</f>
        <v/>
      </c>
      <c r="S16" s="28">
        <f>COUNTIF(D16:I16,"사구")+COUNTIF(V16:AA16,"사구")</f>
        <v/>
      </c>
      <c r="T16" s="28">
        <f>COUNTIF(D16:I16,"삼진")+COUNTIF(V16:AA16,"삼진")+COUNTIF(D16:I16,"루킹삼진")+COUNTIF(V16:AA16,"루킹삼진")+COUNTIF(D16:I16,"낫아웃출루")+COUNTIF(V16:AA16,"낫아웃출루")</f>
        <v/>
      </c>
      <c r="U16" s="33">
        <f>IF(AB16=0,"",IF(M16=0,"n.a.",N16/M16))</f>
        <v/>
      </c>
      <c r="V16" s="30" t="n"/>
      <c r="W16" s="30" t="n"/>
      <c r="X16" s="30" t="n"/>
      <c r="Y16" s="30" t="n"/>
      <c r="Z16" s="30" t="n"/>
      <c r="AA16" s="30" t="n"/>
      <c r="AB16" s="32">
        <f>COUNTA(D16:I16)+COUNTA(V16:AA16)</f>
        <v/>
      </c>
      <c r="AC16" s="32">
        <f>COUNTIF(D16:I16,"희생플라이")+COUNTIF(V16:AA16,"희생플라이")</f>
        <v/>
      </c>
      <c r="AD16" s="32">
        <f>COUNTIF(D16:I16,"희생번트")+COUNTIF(V16:AA16,"희생번트")</f>
        <v/>
      </c>
      <c r="AE16" s="32">
        <f>AM16+2*O16+3*P16+4*Q16</f>
        <v/>
      </c>
      <c r="AF16" s="34">
        <f>IF(AB16=0,"",IF(M16+R16+S16+AC16=0,"n.a.",(N16+R16+S16)/(M16+R16+S16+AC16)))</f>
        <v/>
      </c>
      <c r="AG16" s="34">
        <f>IF(AB16=0,"",IF(M16=0,"n.a.",AE16/M16))</f>
        <v/>
      </c>
      <c r="AH16" s="34">
        <f>IF(AB16=0,"",IF(AND(ISNUMBER(AF16),ISNUMBER(AG16)),AF16+AG16,"n.a."))</f>
        <v/>
      </c>
      <c r="AI16" s="32">
        <f>COUNTIF(D16:I16,"포수방해")+COUNTIF(V16:AA16,"포수방해")</f>
        <v/>
      </c>
      <c r="AJ16" s="32">
        <f>COUNTIF(D16:I16,"병살")+COUNTIF(V16:AA16,"병살")</f>
        <v/>
      </c>
      <c r="AK16" s="32">
        <f>COUNTIF(D16:I16,"실책출루")+COUNTIF(V16:AA16,"실책출루")</f>
        <v/>
      </c>
      <c r="AL16" s="32">
        <f>COUNTIF(D16:I16,"야수선택")+COUNTIF(V16:AA16,"야수선택")</f>
        <v/>
      </c>
      <c r="AM16" s="32">
        <f>COUNTIF(D16:I16,"안타")+COUNTIF(V16:AA16,"안타")</f>
        <v/>
      </c>
      <c r="AN16" s="35">
        <f>IF(AB16=0,"",R16/AB16)</f>
        <v/>
      </c>
      <c r="AO16" s="35">
        <f>IF(AB16=0,"",T16/AB16)</f>
        <v/>
      </c>
    </row>
    <row r="17" ht="24.75" customHeight="1" s="70">
      <c r="A17" s="62" t="n"/>
      <c r="B17" s="63" t="inlineStr">
        <is>
          <t>합계</t>
        </is>
      </c>
      <c r="C17" s="62" t="n"/>
      <c r="D17" s="62" t="n"/>
      <c r="E17" s="62" t="n"/>
      <c r="F17" s="62" t="n"/>
      <c r="G17" s="62" t="n"/>
      <c r="H17" s="62" t="n"/>
      <c r="I17" s="62" t="n"/>
      <c r="J17" s="64">
        <f>SUM(J2:J16)</f>
        <v/>
      </c>
      <c r="K17" s="64">
        <f>SUM(K2:K16)</f>
        <v/>
      </c>
      <c r="L17" s="64">
        <f>SUM(L2:L16)</f>
        <v/>
      </c>
      <c r="M17" s="64">
        <f>SUM(M2:M16)</f>
        <v/>
      </c>
      <c r="N17" s="64">
        <f>SUM(N2:N16)</f>
        <v/>
      </c>
      <c r="O17" s="64">
        <f>SUM(O2:O16)</f>
        <v/>
      </c>
      <c r="P17" s="64">
        <f>SUM(P2:P16)</f>
        <v/>
      </c>
      <c r="Q17" s="64">
        <f>SUM(Q2:Q16)</f>
        <v/>
      </c>
      <c r="R17" s="64">
        <f>SUM(R2:R16)</f>
        <v/>
      </c>
      <c r="S17" s="64">
        <f>SUM(S2:S16)</f>
        <v/>
      </c>
      <c r="T17" s="64">
        <f>SUM(T2:T16)</f>
        <v/>
      </c>
      <c r="U17" s="65">
        <f>IF(AB17=0,"",IF(M17=0,"n.a.",N17/M17))</f>
        <v/>
      </c>
      <c r="V17" s="66" t="n"/>
      <c r="W17" s="66" t="n"/>
      <c r="X17" s="66" t="n"/>
      <c r="Y17" s="66" t="n"/>
      <c r="Z17" s="66" t="n"/>
      <c r="AA17" s="66" t="n"/>
      <c r="AB17" s="67">
        <f>SUM(AB2:AB16)</f>
        <v/>
      </c>
      <c r="AC17" s="67">
        <f>SUM(AC2:AC16)</f>
        <v/>
      </c>
      <c r="AD17" s="67">
        <f>SUM(AD2:AD16)</f>
        <v/>
      </c>
      <c r="AE17" s="67">
        <f>SUM(AE2:AE16)</f>
        <v/>
      </c>
      <c r="AF17" s="68">
        <f>IF(AB17=0,"",IF(M17+R17+S17+AC17=0,"n.a.",(N17+R17+S17)/(M17+R17+S17+AC17)))</f>
        <v/>
      </c>
      <c r="AG17" s="68">
        <f>IF(AB17=0,"",IF(M17=0,"n.a.",AE17/M17))</f>
        <v/>
      </c>
      <c r="AH17" s="68">
        <f>IF(AB17=0,"",IF(AND(ISNUMBER(AF17),ISNUMBER(AG17)),AF17+AG17,"n.a."))</f>
        <v/>
      </c>
      <c r="AI17" s="67">
        <f>SUM(AI2:AI16)</f>
        <v/>
      </c>
      <c r="AJ17" s="67">
        <f>SUM(AJ2:AJ16)</f>
        <v/>
      </c>
      <c r="AK17" s="67">
        <f>SUM(AK2:AK16)</f>
        <v/>
      </c>
      <c r="AL17" s="67">
        <f>SUM(AL2:AL16)</f>
        <v/>
      </c>
      <c r="AM17" s="67">
        <f>SUM(AM2:AM16)</f>
        <v/>
      </c>
      <c r="AN17" s="69">
        <f>IF(AB17=0,"",IF(AB17=0,"n.a.",R17/AB17))</f>
        <v/>
      </c>
      <c r="AO17" s="69">
        <f>IF(AB17=0,"",IF(AB17=0,"n.a.",T17/AB17))</f>
        <v/>
      </c>
    </row>
    <row r="19">
      <c r="A19" s="22" t="inlineStr">
        <is>
          <t>추가 타석은 V:AA(7–12타석)에 입력. 교체 선수는 11–16행에 별도 기록하고 타순은 원래 타순 사용.</t>
        </is>
      </c>
    </row>
    <row r="20">
      <c r="A20" s="22" t="inlineStr">
        <is>
          <t>낫아웃출루는 삼진·타수에 포함. 포수방해는 타석에 포함하고 타수·OBP 분모에서 제외. 병살은 땅볼 병살타.</t>
        </is>
      </c>
    </row>
    <row r="21" ht="15.75" customHeight="1" s="70">
      <c r="A21" s="22" t="inlineStr">
        <is>
          <t>타율·비율은 반올림하지 않은 값으로 계산하고 화면에서만 반올림. 팀 비율은 합계 분자/합계 분모로 계산.</t>
        </is>
      </c>
    </row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dataValidations count="4">
    <dataValidation sqref="C2:C16" showDropDown="0" showInputMessage="0" showErrorMessage="0" allowBlank="1" type="list">
      <formula1>"P,C,1B,2B,3B,SS,LF,CF,RF,DH,PH,PR"</formula1>
    </dataValidation>
    <dataValidation sqref="J2:L16" showDropDown="0" showInputMessage="0" showErrorMessage="0" allowBlank="1" type="decimal">
      <formula1>0.0</formula1>
      <formula2>99.0</formula2>
    </dataValidation>
    <dataValidation sqref="D2:I16" showDropDown="0" showInputMessage="1" showErrorMessage="1" allowBlank="1" prompt="타석 결과 - 안타 2루타 3루타 홈런 삼진 루킹삼진 땅볼 뜬공 직선타 병살 실책출루 야수선택 볼넷 사구 희생플라이 희생번트 중 하나" type="list">
      <formula1>"안타,2루타,3루타,홈런,삼진,루킹삼진,땅볼,뜬공,직선타,병살,실책출루,야수선택,볼넷,사구,희생플라이,희생번트,낫아웃출루,포수방해"</formula1>
    </dataValidation>
    <dataValidation sqref="V2:AA16" showDropDown="0" showInputMessage="0" showErrorMessage="0" allowBlank="1" type="list">
      <formula1>"안타,2루타,3루타,홈런,삼진,루킹삼진,땅볼,뜬공,직선타,병살,실책출루,야수선택,볼넷,사구,희생플라이,희생번트,낫아웃출루,포수방해"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17243B"/>
    <outlinePr summaryBelow="1" summaryRight="1"/>
    <pageSetUpPr/>
  </sheetPr>
  <dimension ref="A1:S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9" customWidth="1" style="70" min="1" max="1"/>
    <col width="12" customWidth="1" style="70" min="2" max="18"/>
    <col width="18" customWidth="1" style="70" min="19" max="19"/>
    <col width="8.710000000000001" customWidth="1" style="70" min="20" max="26"/>
  </cols>
  <sheetData>
    <row r="1" ht="30" customHeight="1" s="70">
      <c r="A1" s="2" t="inlineStr">
        <is>
          <t>이름</t>
        </is>
      </c>
      <c r="B1" s="2" t="inlineStr">
        <is>
          <t>결과</t>
        </is>
      </c>
      <c r="C1" s="2" t="inlineStr">
        <is>
          <t>아웃</t>
        </is>
      </c>
      <c r="D1" s="2" t="inlineStr">
        <is>
          <t>이닝</t>
        </is>
      </c>
      <c r="E1" s="2" t="inlineStr">
        <is>
          <t>투구수</t>
        </is>
      </c>
      <c r="F1" s="2" t="inlineStr">
        <is>
          <t>피안타</t>
        </is>
      </c>
      <c r="G1" s="2" t="inlineStr">
        <is>
          <t>실점</t>
        </is>
      </c>
      <c r="H1" s="2" t="inlineStr">
        <is>
          <t>자책</t>
        </is>
      </c>
      <c r="I1" s="2" t="inlineStr">
        <is>
          <t>볼넷</t>
        </is>
      </c>
      <c r="J1" s="2" t="inlineStr">
        <is>
          <t>사구</t>
        </is>
      </c>
      <c r="K1" s="2" t="inlineStr">
        <is>
          <t>삼진</t>
        </is>
      </c>
      <c r="L1" s="2" t="inlineStr">
        <is>
          <t>피홈런</t>
        </is>
      </c>
      <c r="M1" s="2" t="inlineStr">
        <is>
          <t>ERA</t>
        </is>
      </c>
      <c r="N1" s="6" t="inlineStr">
        <is>
          <t>WHIP</t>
        </is>
      </c>
      <c r="O1" s="6" t="inlineStr">
        <is>
          <t>K/BB</t>
        </is>
      </c>
      <c r="P1" s="6" t="inlineStr">
        <is>
          <t>K/9</t>
        </is>
      </c>
      <c r="Q1" s="6" t="inlineStr">
        <is>
          <t>BB/9</t>
        </is>
      </c>
      <c r="R1" s="6" t="inlineStr">
        <is>
          <t>이닝 표기</t>
        </is>
      </c>
      <c r="S1" s="6" t="inlineStr">
        <is>
          <t>입력 상태</t>
        </is>
      </c>
    </row>
    <row r="2" ht="25.5" customHeight="1" s="70">
      <c r="A2" s="12" t="inlineStr">
        <is>
          <t>카선수</t>
        </is>
      </c>
      <c r="B2" s="12" t="inlineStr">
        <is>
          <t>승</t>
        </is>
      </c>
      <c r="C2" s="12" t="n">
        <v>12</v>
      </c>
      <c r="D2" s="17">
        <f>IF(A2="","",IF(NOT(ISNUMBER(C2)),"",C2/3))</f>
        <v/>
      </c>
      <c r="E2" s="12" t="n">
        <v>60</v>
      </c>
      <c r="F2" s="12" t="n">
        <v>3</v>
      </c>
      <c r="G2" s="12" t="n">
        <v>2</v>
      </c>
      <c r="H2" s="12" t="n">
        <v>1</v>
      </c>
      <c r="I2" s="12" t="n">
        <v>2</v>
      </c>
      <c r="J2" s="12" t="n">
        <v>1</v>
      </c>
      <c r="K2" s="12" t="n">
        <v>5</v>
      </c>
      <c r="L2" s="12" t="n">
        <v>1</v>
      </c>
      <c r="M2" s="24">
        <f>IF(A2="","",IF(OR(NOT(ISNUMBER(C2)),NOT(ISNUMBER(H2))),"",IF(C2=0,"n.a.",H2*3*'경기 정보'!$C$20/C2)))</f>
        <v/>
      </c>
      <c r="N2" s="27">
        <f>IF(A2="","",IF(OR(NOT(ISNUMBER(C2)),NOT(ISNUMBER(F2)),NOT(ISNUMBER(I2))),"",IF(C2=0,"n.a.",(F2+I2)*3/C2)))</f>
        <v/>
      </c>
      <c r="O2" s="27">
        <f>IF(A2="","",IF(OR(NOT(ISNUMBER(I2)),NOT(ISNUMBER(K2))),"",IF(I2=0,"n.a.",K2/I2)))</f>
        <v/>
      </c>
      <c r="P2" s="27">
        <f>IF(A2="","",IF(OR(NOT(ISNUMBER(C2)),NOT(ISNUMBER(K2))),"",IF(C2=0,"n.a.",K2*27/C2)))</f>
        <v/>
      </c>
      <c r="Q2" s="27">
        <f>IF(A2="","",IF(OR(NOT(ISNUMBER(C2)),NOT(ISNUMBER(I2))),"",IF(C2=0,"n.a.",I2*27/C2)))</f>
        <v/>
      </c>
      <c r="R2" s="32">
        <f>IF(A2="","",IF(NOT(ISNUMBER(C2)),"",INT(C2/3)&amp;"."&amp;MOD(C2,3)))</f>
        <v/>
      </c>
      <c r="S2" s="25">
        <f>IF(A2="","",IF(COUNT(C2,E2:L2)=9,"입력 완료","숫자 입력 대기"))</f>
        <v/>
      </c>
    </row>
    <row r="3" ht="25.5" customHeight="1" s="70">
      <c r="A3" s="12" t="inlineStr">
        <is>
          <t>타선수</t>
        </is>
      </c>
      <c r="B3" s="12" t="inlineStr">
        <is>
          <t>홀</t>
        </is>
      </c>
      <c r="C3" s="12" t="n">
        <v>6</v>
      </c>
      <c r="D3" s="17">
        <f>IF(A3="","",IF(NOT(ISNUMBER(C3)),"",C3/3))</f>
        <v/>
      </c>
      <c r="E3" s="12" t="n">
        <v>25</v>
      </c>
      <c r="F3" s="12" t="n">
        <v>1</v>
      </c>
      <c r="G3" s="12" t="n">
        <v>0</v>
      </c>
      <c r="H3" s="12" t="n">
        <v>0</v>
      </c>
      <c r="I3" s="12" t="n">
        <v>1</v>
      </c>
      <c r="J3" s="12" t="n">
        <v>0</v>
      </c>
      <c r="K3" s="12" t="n">
        <v>3</v>
      </c>
      <c r="L3" s="12" t="n">
        <v>0</v>
      </c>
      <c r="M3" s="24">
        <f>IF(A3="","",IF(OR(NOT(ISNUMBER(C3)),NOT(ISNUMBER(H3))),"",IF(C3=0,"n.a.",H3*3*'경기 정보'!$C$20/C3)))</f>
        <v/>
      </c>
      <c r="N3" s="27">
        <f>IF(A3="","",IF(OR(NOT(ISNUMBER(C3)),NOT(ISNUMBER(F3)),NOT(ISNUMBER(I3))),"",IF(C3=0,"n.a.",(F3+I3)*3/C3)))</f>
        <v/>
      </c>
      <c r="O3" s="27">
        <f>IF(A3="","",IF(OR(NOT(ISNUMBER(I3)),NOT(ISNUMBER(K3))),"",IF(I3=0,"n.a.",K3/I3)))</f>
        <v/>
      </c>
      <c r="P3" s="27">
        <f>IF(A3="","",IF(OR(NOT(ISNUMBER(C3)),NOT(ISNUMBER(K3))),"",IF(C3=0,"n.a.",K3*27/C3)))</f>
        <v/>
      </c>
      <c r="Q3" s="27">
        <f>IF(A3="","",IF(OR(NOT(ISNUMBER(C3)),NOT(ISNUMBER(I3))),"",IF(C3=0,"n.a.",I3*27/C3)))</f>
        <v/>
      </c>
      <c r="R3" s="32">
        <f>IF(A3="","",IF(NOT(ISNUMBER(C3)),"",INT(C3/3)&amp;"."&amp;MOD(C3,3)))</f>
        <v/>
      </c>
      <c r="S3" s="25">
        <f>IF(A3="","",IF(COUNT(C3,E3:L3)=9,"입력 완료","숫자 입력 대기"))</f>
        <v/>
      </c>
    </row>
    <row r="4" ht="25.5" customHeight="1" s="70">
      <c r="A4" s="12" t="inlineStr">
        <is>
          <t>파선수</t>
        </is>
      </c>
      <c r="B4" s="12" t="inlineStr">
        <is>
          <t>세</t>
        </is>
      </c>
      <c r="C4" s="12" t="n">
        <v>3</v>
      </c>
      <c r="D4" s="17">
        <f>IF(A4="","",IF(NOT(ISNUMBER(C4)),"",C4/3))</f>
        <v/>
      </c>
      <c r="E4" s="12" t="n">
        <v>12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2</v>
      </c>
      <c r="L4" s="12" t="n">
        <v>0</v>
      </c>
      <c r="M4" s="24">
        <f>IF(A4="","",IF(OR(NOT(ISNUMBER(C4)),NOT(ISNUMBER(H4))),"",IF(C4=0,"n.a.",H4*3*'경기 정보'!$C$20/C4)))</f>
        <v/>
      </c>
      <c r="N4" s="27">
        <f>IF(A4="","",IF(OR(NOT(ISNUMBER(C4)),NOT(ISNUMBER(F4)),NOT(ISNUMBER(I4))),"",IF(C4=0,"n.a.",(F4+I4)*3/C4)))</f>
        <v/>
      </c>
      <c r="O4" s="27">
        <f>IF(A4="","",IF(OR(NOT(ISNUMBER(I4)),NOT(ISNUMBER(K4))),"",IF(I4=0,"n.a.",K4/I4)))</f>
        <v/>
      </c>
      <c r="P4" s="27">
        <f>IF(A4="","",IF(OR(NOT(ISNUMBER(C4)),NOT(ISNUMBER(K4))),"",IF(C4=0,"n.a.",K4*27/C4)))</f>
        <v/>
      </c>
      <c r="Q4" s="27">
        <f>IF(A4="","",IF(OR(NOT(ISNUMBER(C4)),NOT(ISNUMBER(I4))),"",IF(C4=0,"n.a.",I4*27/C4)))</f>
        <v/>
      </c>
      <c r="R4" s="32">
        <f>IF(A4="","",IF(NOT(ISNUMBER(C4)),"",INT(C4/3)&amp;"."&amp;MOD(C4,3)))</f>
        <v/>
      </c>
      <c r="S4" s="25">
        <f>IF(A4="","",IF(COUNT(C4,E4:L4)=9,"입력 완료","숫자 입력 대기"))</f>
        <v/>
      </c>
    </row>
    <row r="5" ht="25.5" customHeight="1" s="70">
      <c r="A5" s="12" t="n"/>
      <c r="B5" s="12" t="n"/>
      <c r="C5" s="12" t="n"/>
      <c r="D5" s="17">
        <f>IF(A5="","",IF(NOT(ISNUMBER(C5)),"",C5/3))</f>
        <v/>
      </c>
      <c r="E5" s="12" t="n"/>
      <c r="F5" s="12" t="n"/>
      <c r="G5" s="12" t="n"/>
      <c r="H5" s="12" t="n"/>
      <c r="I5" s="12" t="n"/>
      <c r="J5" s="12" t="n"/>
      <c r="K5" s="12" t="n"/>
      <c r="L5" s="12" t="n"/>
      <c r="M5" s="24">
        <f>IF(A5="","",IF(OR(NOT(ISNUMBER(C5)),NOT(ISNUMBER(H5))),"",IF(C5=0,"n.a.",H5*3*'경기 정보'!$C$20/C5)))</f>
        <v/>
      </c>
      <c r="N5" s="27">
        <f>IF(A5="","",IF(OR(NOT(ISNUMBER(C5)),NOT(ISNUMBER(F5)),NOT(ISNUMBER(I5))),"",IF(C5=0,"n.a.",(F5+I5)*3/C5)))</f>
        <v/>
      </c>
      <c r="O5" s="27">
        <f>IF(A5="","",IF(OR(NOT(ISNUMBER(I5)),NOT(ISNUMBER(K5))),"",IF(I5=0,"n.a.",K5/I5)))</f>
        <v/>
      </c>
      <c r="P5" s="27">
        <f>IF(A5="","",IF(OR(NOT(ISNUMBER(C5)),NOT(ISNUMBER(K5))),"",IF(C5=0,"n.a.",K5*27/C5)))</f>
        <v/>
      </c>
      <c r="Q5" s="27">
        <f>IF(A5="","",IF(OR(NOT(ISNUMBER(C5)),NOT(ISNUMBER(I5))),"",IF(C5=0,"n.a.",I5*27/C5)))</f>
        <v/>
      </c>
      <c r="R5" s="32">
        <f>IF(A5="","",IF(NOT(ISNUMBER(C5)),"",INT(C5/3)&amp;"."&amp;MOD(C5,3)))</f>
        <v/>
      </c>
      <c r="S5" s="25">
        <f>IF(A5="","",IF(COUNT(C5,E5:L5)=9,"입력 완료","숫자 입력 대기"))</f>
        <v/>
      </c>
    </row>
    <row r="6" ht="25.5" customHeight="1" s="70">
      <c r="A6" s="12" t="n"/>
      <c r="B6" s="12" t="n"/>
      <c r="C6" s="12" t="n"/>
      <c r="D6" s="17">
        <f>IF(A6="","",IF(NOT(ISNUMBER(C6)),"",C6/3))</f>
        <v/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24">
        <f>IF(A6="","",IF(OR(NOT(ISNUMBER(C6)),NOT(ISNUMBER(H6))),"",IF(C6=0,"n.a.",H6*3*'경기 정보'!$C$20/C6)))</f>
        <v/>
      </c>
      <c r="N6" s="27">
        <f>IF(A6="","",IF(OR(NOT(ISNUMBER(C6)),NOT(ISNUMBER(F6)),NOT(ISNUMBER(I6))),"",IF(C6=0,"n.a.",(F6+I6)*3/C6)))</f>
        <v/>
      </c>
      <c r="O6" s="27">
        <f>IF(A6="","",IF(OR(NOT(ISNUMBER(I6)),NOT(ISNUMBER(K6))),"",IF(I6=0,"n.a.",K6/I6)))</f>
        <v/>
      </c>
      <c r="P6" s="27">
        <f>IF(A6="","",IF(OR(NOT(ISNUMBER(C6)),NOT(ISNUMBER(K6))),"",IF(C6=0,"n.a.",K6*27/C6)))</f>
        <v/>
      </c>
      <c r="Q6" s="27">
        <f>IF(A6="","",IF(OR(NOT(ISNUMBER(C6)),NOT(ISNUMBER(I6))),"",IF(C6=0,"n.a.",I6*27/C6)))</f>
        <v/>
      </c>
      <c r="R6" s="32">
        <f>IF(A6="","",IF(NOT(ISNUMBER(C6)),"",INT(C6/3)&amp;"."&amp;MOD(C6,3)))</f>
        <v/>
      </c>
      <c r="S6" s="25">
        <f>IF(A6="","",IF(COUNT(C6,E6:L6)=9,"입력 완료","숫자 입력 대기"))</f>
        <v/>
      </c>
    </row>
    <row r="7" ht="25.5" customHeight="1" s="70">
      <c r="A7" s="12" t="n"/>
      <c r="B7" s="12" t="n"/>
      <c r="C7" s="12" t="n"/>
      <c r="D7" s="17">
        <f>IF(A7="","",IF(NOT(ISNUMBER(C7)),"",C7/3))</f>
        <v/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24">
        <f>IF(A7="","",IF(OR(NOT(ISNUMBER(C7)),NOT(ISNUMBER(H7))),"",IF(C7=0,"n.a.",H7*3*'경기 정보'!$C$20/C7)))</f>
        <v/>
      </c>
      <c r="N7" s="27">
        <f>IF(A7="","",IF(OR(NOT(ISNUMBER(C7)),NOT(ISNUMBER(F7)),NOT(ISNUMBER(I7))),"",IF(C7=0,"n.a.",(F7+I7)*3/C7)))</f>
        <v/>
      </c>
      <c r="O7" s="27">
        <f>IF(A7="","",IF(OR(NOT(ISNUMBER(I7)),NOT(ISNUMBER(K7))),"",IF(I7=0,"n.a.",K7/I7)))</f>
        <v/>
      </c>
      <c r="P7" s="27">
        <f>IF(A7="","",IF(OR(NOT(ISNUMBER(C7)),NOT(ISNUMBER(K7))),"",IF(C7=0,"n.a.",K7*27/C7)))</f>
        <v/>
      </c>
      <c r="Q7" s="27">
        <f>IF(A7="","",IF(OR(NOT(ISNUMBER(C7)),NOT(ISNUMBER(I7))),"",IF(C7=0,"n.a.",I7*27/C7)))</f>
        <v/>
      </c>
      <c r="R7" s="32">
        <f>IF(A7="","",IF(NOT(ISNUMBER(C7)),"",INT(C7/3)&amp;"."&amp;MOD(C7,3)))</f>
        <v/>
      </c>
      <c r="S7" s="25">
        <f>IF(A7="","",IF(COUNT(C7,E7:L7)=9,"입력 완료","숫자 입력 대기"))</f>
        <v/>
      </c>
    </row>
    <row r="8" ht="25.5" customHeight="1" s="70">
      <c r="A8" s="12" t="n"/>
      <c r="B8" s="12" t="n"/>
      <c r="C8" s="12" t="n"/>
      <c r="D8" s="17">
        <f>IF(A8="","",IF(NOT(ISNUMBER(C8)),"",C8/3))</f>
        <v/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24">
        <f>IF(A8="","",IF(OR(NOT(ISNUMBER(C8)),NOT(ISNUMBER(H8))),"",IF(C8=0,"n.a.",H8*3*'경기 정보'!$C$20/C8)))</f>
        <v/>
      </c>
      <c r="N8" s="27">
        <f>IF(A8="","",IF(OR(NOT(ISNUMBER(C8)),NOT(ISNUMBER(F8)),NOT(ISNUMBER(I8))),"",IF(C8=0,"n.a.",(F8+I8)*3/C8)))</f>
        <v/>
      </c>
      <c r="O8" s="27">
        <f>IF(A8="","",IF(OR(NOT(ISNUMBER(I8)),NOT(ISNUMBER(K8))),"",IF(I8=0,"n.a.",K8/I8)))</f>
        <v/>
      </c>
      <c r="P8" s="27">
        <f>IF(A8="","",IF(OR(NOT(ISNUMBER(C8)),NOT(ISNUMBER(K8))),"",IF(C8=0,"n.a.",K8*27/C8)))</f>
        <v/>
      </c>
      <c r="Q8" s="27">
        <f>IF(A8="","",IF(OR(NOT(ISNUMBER(C8)),NOT(ISNUMBER(I8))),"",IF(C8=0,"n.a.",I8*27/C8)))</f>
        <v/>
      </c>
      <c r="R8" s="32">
        <f>IF(A8="","",IF(NOT(ISNUMBER(C8)),"",INT(C8/3)&amp;"."&amp;MOD(C8,3)))</f>
        <v/>
      </c>
      <c r="S8" s="25">
        <f>IF(A8="","",IF(COUNT(C8,E8:L8)=9,"입력 완료","숫자 입력 대기"))</f>
        <v/>
      </c>
    </row>
    <row r="9" ht="25.5" customHeight="1" s="70">
      <c r="A9" s="12" t="n"/>
      <c r="B9" s="12" t="n"/>
      <c r="C9" s="12" t="n"/>
      <c r="D9" s="17">
        <f>IF(A9="","",IF(NOT(ISNUMBER(C9)),"",C9/3))</f>
        <v/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24">
        <f>IF(A9="","",IF(OR(NOT(ISNUMBER(C9)),NOT(ISNUMBER(H9))),"",IF(C9=0,"n.a.",H9*3*'경기 정보'!$C$20/C9)))</f>
        <v/>
      </c>
      <c r="N9" s="27">
        <f>IF(A9="","",IF(OR(NOT(ISNUMBER(C9)),NOT(ISNUMBER(F9)),NOT(ISNUMBER(I9))),"",IF(C9=0,"n.a.",(F9+I9)*3/C9)))</f>
        <v/>
      </c>
      <c r="O9" s="27">
        <f>IF(A9="","",IF(OR(NOT(ISNUMBER(I9)),NOT(ISNUMBER(K9))),"",IF(I9=0,"n.a.",K9/I9)))</f>
        <v/>
      </c>
      <c r="P9" s="27">
        <f>IF(A9="","",IF(OR(NOT(ISNUMBER(C9)),NOT(ISNUMBER(K9))),"",IF(C9=0,"n.a.",K9*27/C9)))</f>
        <v/>
      </c>
      <c r="Q9" s="27">
        <f>IF(A9="","",IF(OR(NOT(ISNUMBER(C9)),NOT(ISNUMBER(I9))),"",IF(C9=0,"n.a.",I9*27/C9)))</f>
        <v/>
      </c>
      <c r="R9" s="32">
        <f>IF(A9="","",IF(NOT(ISNUMBER(C9)),"",INT(C9/3)&amp;"."&amp;MOD(C9,3)))</f>
        <v/>
      </c>
      <c r="S9" s="25">
        <f>IF(A9="","",IF(COUNT(C9,E9:L9)=9,"입력 완료","숫자 입력 대기"))</f>
        <v/>
      </c>
    </row>
    <row r="10" ht="25.5" customHeight="1" s="70">
      <c r="A10" s="12" t="n"/>
      <c r="B10" s="12" t="n"/>
      <c r="C10" s="12" t="n"/>
      <c r="D10" s="17">
        <f>IF(A10="","",IF(NOT(ISNUMBER(C10)),"",C10/3))</f>
        <v/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24">
        <f>IF(A10="","",IF(OR(NOT(ISNUMBER(C10)),NOT(ISNUMBER(H10))),"",IF(C10=0,"n.a.",H10*3*'경기 정보'!$C$20/C10)))</f>
        <v/>
      </c>
      <c r="N10" s="27">
        <f>IF(A10="","",IF(OR(NOT(ISNUMBER(C10)),NOT(ISNUMBER(F10)),NOT(ISNUMBER(I10))),"",IF(C10=0,"n.a.",(F10+I10)*3/C10)))</f>
        <v/>
      </c>
      <c r="O10" s="27">
        <f>IF(A10="","",IF(OR(NOT(ISNUMBER(I10)),NOT(ISNUMBER(K10))),"",IF(I10=0,"n.a.",K10/I10)))</f>
        <v/>
      </c>
      <c r="P10" s="27">
        <f>IF(A10="","",IF(OR(NOT(ISNUMBER(C10)),NOT(ISNUMBER(K10))),"",IF(C10=0,"n.a.",K10*27/C10)))</f>
        <v/>
      </c>
      <c r="Q10" s="27">
        <f>IF(A10="","",IF(OR(NOT(ISNUMBER(C10)),NOT(ISNUMBER(I10))),"",IF(C10=0,"n.a.",I10*27/C10)))</f>
        <v/>
      </c>
      <c r="R10" s="32">
        <f>IF(A10="","",IF(NOT(ISNUMBER(C10)),"",INT(C10/3)&amp;"."&amp;MOD(C10,3)))</f>
        <v/>
      </c>
      <c r="S10" s="25">
        <f>IF(A10="","",IF(COUNT(C10,E10:L10)=9,"입력 완료","숫자 입력 대기"))</f>
        <v/>
      </c>
    </row>
    <row r="11" ht="25.5" customHeight="1" s="70">
      <c r="A11" s="12" t="n"/>
      <c r="B11" s="12" t="n"/>
      <c r="C11" s="12" t="n"/>
      <c r="D11" s="17">
        <f>IF(A11="","",IF(NOT(ISNUMBER(C11)),"",C11/3))</f>
        <v/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24">
        <f>IF(A11="","",IF(OR(NOT(ISNUMBER(C11)),NOT(ISNUMBER(H11))),"",IF(C11=0,"n.a.",H11*3*'경기 정보'!$C$20/C11)))</f>
        <v/>
      </c>
      <c r="N11" s="27">
        <f>IF(A11="","",IF(OR(NOT(ISNUMBER(C11)),NOT(ISNUMBER(F11)),NOT(ISNUMBER(I11))),"",IF(C11=0,"n.a.",(F11+I11)*3/C11)))</f>
        <v/>
      </c>
      <c r="O11" s="27">
        <f>IF(A11="","",IF(OR(NOT(ISNUMBER(I11)),NOT(ISNUMBER(K11))),"",IF(I11=0,"n.a.",K11/I11)))</f>
        <v/>
      </c>
      <c r="P11" s="27">
        <f>IF(A11="","",IF(OR(NOT(ISNUMBER(C11)),NOT(ISNUMBER(K11))),"",IF(C11=0,"n.a.",K11*27/C11)))</f>
        <v/>
      </c>
      <c r="Q11" s="27">
        <f>IF(A11="","",IF(OR(NOT(ISNUMBER(C11)),NOT(ISNUMBER(I11))),"",IF(C11=0,"n.a.",I11*27/C11)))</f>
        <v/>
      </c>
      <c r="R11" s="32">
        <f>IF(A11="","",IF(NOT(ISNUMBER(C11)),"",INT(C11/3)&amp;"."&amp;MOD(C11,3)))</f>
        <v/>
      </c>
      <c r="S11" s="25">
        <f>IF(A11="","",IF(COUNT(C11,E11:L11)=9,"입력 완료","숫자 입력 대기"))</f>
        <v/>
      </c>
    </row>
    <row r="12" ht="25.5" customHeight="1" s="70">
      <c r="A12" s="5" t="inlineStr">
        <is>
          <t>합계</t>
        </is>
      </c>
      <c r="B12" s="39" t="n"/>
      <c r="C12" s="40">
        <f>SUM(C2:C11)</f>
        <v/>
      </c>
      <c r="D12" s="41">
        <f>IF(S12&lt;&gt;"입력 완료","",IF(COUNTA(A2:A11)=0,"",IF(NOT(ISNUMBER(C12)),"",C12/3)))</f>
        <v/>
      </c>
      <c r="E12" s="40">
        <f>SUM(E2:E11)</f>
        <v/>
      </c>
      <c r="F12" s="40">
        <f>SUM(F2:F11)</f>
        <v/>
      </c>
      <c r="G12" s="40">
        <f>SUM(G2:G11)</f>
        <v/>
      </c>
      <c r="H12" s="40">
        <f>SUM(H2:H11)</f>
        <v/>
      </c>
      <c r="I12" s="40">
        <f>SUM(I2:I11)</f>
        <v/>
      </c>
      <c r="J12" s="40">
        <f>SUM(J2:J11)</f>
        <v/>
      </c>
      <c r="K12" s="40">
        <f>SUM(K2:K11)</f>
        <v/>
      </c>
      <c r="L12" s="40">
        <f>SUM(L2:L11)</f>
        <v/>
      </c>
      <c r="M12" s="43">
        <f>IF(S12&lt;&gt;"입력 완료","",IF(COUNTA(A2:A11)=0,"",IF(OR(NOT(ISNUMBER(C12)),NOT(ISNUMBER(H12))),"",IF(C12=0,"n.a.",H12*3*'경기 정보'!$C$20/C12))))</f>
        <v/>
      </c>
      <c r="N12" s="48">
        <f>IF(S12&lt;&gt;"입력 완료","",IF(COUNTA(A2:A11)=0,"",IF(OR(NOT(ISNUMBER(C12)),NOT(ISNUMBER(F12)),NOT(ISNUMBER(I12))),"",IF(C12=0,"n.a.",(F12+I12)*3/C12))))</f>
        <v/>
      </c>
      <c r="O12" s="48">
        <f>IF(S12&lt;&gt;"입력 완료","",IF(COUNTA(A2:A11)=0,"",IF(OR(NOT(ISNUMBER(I12)),NOT(ISNUMBER(K12))),"",IF(I12=0,"n.a.",K12/I12))))</f>
        <v/>
      </c>
      <c r="P12" s="48">
        <f>IF(S12&lt;&gt;"입력 완료","",IF(COUNTA(A2:A11)=0,"",IF(OR(NOT(ISNUMBER(C12)),NOT(ISNUMBER(K12))),"",IF(C12=0,"n.a.",K12*27/C12))))</f>
        <v/>
      </c>
      <c r="Q12" s="48">
        <f>IF(S12&lt;&gt;"입력 완료","",IF(COUNTA(A2:A11)=0,"",IF(OR(NOT(ISNUMBER(C12)),NOT(ISNUMBER(I12))),"",IF(C12=0,"n.a.",I12*27/C12))))</f>
        <v/>
      </c>
      <c r="R12" s="53">
        <f>IF(S12&lt;&gt;"입력 완료","",IF(COUNTA(A2:A11)=0,"",IF(NOT(ISNUMBER(C12)),"",INT(C12/3)&amp;"."&amp;MOD(C12,3))))</f>
        <v/>
      </c>
      <c r="S12" s="25">
        <f>IF(COUNTA(A2:A11)=0,"입력 대기",IF(COUNTIF(S2:S11,"숫자 입력 대기")&gt;0,"숫자 입력 대기","입력 완료"))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5" customHeight="1" s="70">
      <c r="A14" s="11" t="inlineStr">
        <is>
          <t>아웃 수만 입력. D열은 실제 이닝(8/3), R열은 야구 표기(2.2). ERA·WHIP는 아웃 수로 계산.</t>
        </is>
      </c>
    </row>
    <row r="15" ht="15" customHeight="1" s="70">
      <c r="A15" s="11" t="inlineStr">
        <is>
          <t>자책점은 실책·포일이 없었던 이닝을 재구성해 판정. 미확정이면 빈칸으로 두고 주요 기록에 메모.</t>
        </is>
      </c>
    </row>
    <row r="16">
      <c r="A16" s="22" t="inlineStr">
        <is>
          <t>이름이 있는 투수는 C열과 E:L열 모두 입력(기록 없음은 0). 아웃 0개·볼넷 0개의 해당 비율은 n.a.</t>
        </is>
      </c>
    </row>
    <row r="21" ht="15.75" customHeight="1" s="70"/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2">
    <mergeCell ref="A14:M14"/>
    <mergeCell ref="A15:M15"/>
  </mergeCells>
  <dataValidations count="3">
    <dataValidation sqref="C2:C11" showDropDown="0" showInputMessage="0" showErrorMessage="0" allowBlank="1" type="decimal">
      <formula1>0.0</formula1>
      <formula2>99.0</formula2>
    </dataValidation>
    <dataValidation sqref="E2:L11" showDropDown="0" showInputMessage="0" showErrorMessage="0" allowBlank="1" type="decimal">
      <formula1>0.0</formula1>
      <formula2>999.0</formula2>
    </dataValidation>
    <dataValidation sqref="B2:B11" showDropDown="0" showInputMessage="0" showErrorMessage="0" allowBlank="1" type="list">
      <formula1>"승,패,세,홀"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17243B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70" min="1" max="1"/>
    <col width="78" customWidth="1" style="70" min="2" max="2"/>
    <col width="22.29" customWidth="1" style="70" min="3" max="3"/>
    <col width="65" customWidth="1" style="70" min="4" max="4"/>
    <col width="8.710000000000001" customWidth="1" style="70" min="5" max="26"/>
  </cols>
  <sheetData>
    <row r="1" ht="36" customHeight="1" s="70">
      <c r="A1" s="36" t="inlineStr">
        <is>
          <t>결승타</t>
        </is>
      </c>
      <c r="B1" s="37" t="inlineStr">
        <is>
          <t>5회 1사 2루 가선수 2루타</t>
        </is>
      </c>
      <c r="C1" s="4" t="n"/>
      <c r="D1" s="38" t="inlineStr">
        <is>
          <t>B열에 이닝·아웃·선수·플레이 결과·판정 근거 입력.</t>
        </is>
      </c>
    </row>
    <row r="2" ht="36" customHeight="1" s="70">
      <c r="A2" s="36" t="inlineStr">
        <is>
          <t>2루타</t>
        </is>
      </c>
      <c r="B2" s="37" t="n"/>
      <c r="C2" s="4" t="n"/>
      <c r="D2" s="11" t="inlineStr">
        <is>
          <t>투수 교체 시 잔류 주자와 책임 투수, 자책점 미확정 장면은 필수 메모.</t>
        </is>
      </c>
    </row>
    <row r="3" ht="36" customHeight="1" s="70">
      <c r="A3" s="36" t="inlineStr">
        <is>
          <t>3루타</t>
        </is>
      </c>
      <c r="B3" s="37" t="n"/>
      <c r="C3" s="4" t="n"/>
    </row>
    <row r="4" ht="36" customHeight="1" s="70">
      <c r="A4" s="36" t="inlineStr">
        <is>
          <t>홈런</t>
        </is>
      </c>
      <c r="B4" s="37" t="n"/>
      <c r="C4" s="4" t="n"/>
    </row>
    <row r="5" ht="36" customHeight="1" s="70">
      <c r="A5" s="36" t="inlineStr">
        <is>
          <t>주루·도루</t>
        </is>
      </c>
      <c r="B5" s="37" t="n"/>
      <c r="C5" s="4" t="n"/>
    </row>
    <row r="6" ht="36" customHeight="1" s="70">
      <c r="A6" s="36" t="inlineStr">
        <is>
          <t>실책</t>
        </is>
      </c>
      <c r="B6" s="37" t="n"/>
      <c r="C6" s="4" t="n"/>
      <c r="D6" s="8" t="n"/>
    </row>
    <row r="7" ht="36" customHeight="1" s="70">
      <c r="A7" s="36" t="inlineStr">
        <is>
          <t>주루사</t>
        </is>
      </c>
      <c r="B7" s="37" t="n"/>
      <c r="C7" s="4" t="n"/>
      <c r="D7" s="11" t="inlineStr">
        <is>
          <t>비어 있는 항목은 저장되지 않으니 억지로 채우지 않아도 됩니다.</t>
        </is>
      </c>
    </row>
    <row r="8" ht="36" customHeight="1" s="70">
      <c r="A8" s="36" t="inlineStr">
        <is>
          <t>견제사</t>
        </is>
      </c>
      <c r="B8" s="37" t="n"/>
      <c r="C8" s="4" t="n"/>
    </row>
    <row r="9" ht="36" customHeight="1" s="70">
      <c r="A9" s="36" t="inlineStr">
        <is>
          <t>병살타</t>
        </is>
      </c>
      <c r="B9" s="37" t="n"/>
      <c r="C9" s="4" t="n"/>
    </row>
    <row r="10" ht="36" customHeight="1" s="70">
      <c r="A10" s="36" t="inlineStr">
        <is>
          <t>폭투</t>
        </is>
      </c>
      <c r="B10" s="37" t="n"/>
      <c r="C10" s="4" t="n"/>
    </row>
    <row r="11" ht="36" customHeight="1" s="70">
      <c r="A11" s="36" t="inlineStr">
        <is>
          <t>투수 교체 판단</t>
        </is>
      </c>
      <c r="B11" s="37" t="n"/>
      <c r="C11" s="4" t="n"/>
    </row>
    <row r="12" ht="36" customHeight="1" s="70">
      <c r="A12" s="36" t="inlineStr">
        <is>
          <t>특이사항</t>
        </is>
      </c>
      <c r="B12" s="37" t="n"/>
      <c r="C12" s="4" t="n"/>
    </row>
    <row r="21" ht="15.75" customHeight="1" s="70"/>
    <row r="22" ht="15.75" customHeight="1" s="70"/>
    <row r="23" ht="15.75" customHeight="1" s="70"/>
    <row r="24" ht="15.75" customHeight="1" s="70"/>
    <row r="25" ht="15.75" customHeight="1" s="70"/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2">
    <mergeCell ref="D7:D12"/>
    <mergeCell ref="D2:D5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17243B"/>
    <outlinePr summaryBelow="1" summaryRight="1"/>
    <pageSetUpPr/>
  </sheetPr>
  <dimension ref="B1:G4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4" customWidth="1" style="70" min="1" max="1"/>
    <col width="39" customWidth="1" style="70" min="2" max="2"/>
    <col width="12" customWidth="1" style="70" min="3" max="5"/>
    <col width="17" customWidth="1" style="70" min="6" max="6"/>
    <col width="52" customWidth="1" style="70" min="7" max="7"/>
    <col width="8.710000000000001" customWidth="1" style="70" min="8" max="26"/>
  </cols>
  <sheetData>
    <row r="1">
      <c r="B1" s="1" t="inlineStr">
        <is>
          <t>기록 검수</t>
        </is>
      </c>
    </row>
    <row r="2">
      <c r="B2" s="22" t="inlineStr">
        <is>
          <t>숫자 대조와 플레이 판정은 별도로 확인. 빈 필수 입력은 통과로 처리하지 않음.</t>
        </is>
      </c>
    </row>
    <row r="4" ht="27.75" customHeight="1" s="70">
      <c r="B4" s="6" t="inlineStr">
        <is>
          <t>확인 항목</t>
        </is>
      </c>
      <c r="C4" s="6" t="inlineStr">
        <is>
          <t>기준값</t>
        </is>
      </c>
      <c r="D4" s="6" t="inlineStr">
        <is>
          <t>기록값</t>
        </is>
      </c>
      <c r="E4" s="6" t="inlineStr">
        <is>
          <t>차이</t>
        </is>
      </c>
      <c r="F4" s="6" t="inlineStr">
        <is>
          <t>상태</t>
        </is>
      </c>
      <c r="G4" s="6" t="inlineStr">
        <is>
          <t>확인 위치</t>
        </is>
      </c>
    </row>
    <row r="5" ht="27.75" customHeight="1" s="70">
      <c r="B5" s="22" t="inlineStr">
        <is>
          <t>우리 점수 대조</t>
        </is>
      </c>
      <c r="C5" s="42">
        <f>IF(NOT(ISNUMBER('경기 정보'!C8)),"",'경기 정보'!C8)</f>
        <v/>
      </c>
      <c r="D5" s="42">
        <f>SUM('타자 기록'!J2:J16)</f>
        <v/>
      </c>
      <c r="E5" s="46">
        <f>IF(OR(NOT(ISNUMBER(C5)),NOT(ISNUMBER(D5))),"",D5-C5)</f>
        <v/>
      </c>
      <c r="F5" s="49">
        <f>IF(NOT(ISNUMBER(C5)),"입력 대기",IF(C5=D5,"통과","확인 필요"))</f>
        <v/>
      </c>
      <c r="G5" s="21" t="inlineStr">
        <is>
          <t>경기 정보 C8 / 타자 기록 J</t>
        </is>
      </c>
    </row>
    <row r="6" ht="27.75" customHeight="1" s="70">
      <c r="B6" s="22" t="inlineStr">
        <is>
          <t>상대 점수 대조</t>
        </is>
      </c>
      <c r="C6" s="42">
        <f>IF(NOT(ISNUMBER('경기 정보'!C9)),"",'경기 정보'!C9)</f>
        <v/>
      </c>
      <c r="D6" s="42">
        <f>SUM('투수 기록'!G2:G11)</f>
        <v/>
      </c>
      <c r="E6" s="46">
        <f>IF(OR(NOT(ISNUMBER(C6)),NOT(ISNUMBER(D6))),"",D6-C6)</f>
        <v/>
      </c>
      <c r="F6" s="49">
        <f>IF(NOT(ISNUMBER(C6)),"입력 대기",IF(C6=D6,"통과","확인 필요"))</f>
        <v/>
      </c>
      <c r="G6" s="21" t="inlineStr">
        <is>
          <t>경기 정보 C9 / 투수 기록 G</t>
        </is>
      </c>
    </row>
    <row r="7" ht="27.75" customHeight="1" s="70">
      <c r="B7" s="22" t="inlineStr">
        <is>
          <t>수비 아웃 수 대조</t>
        </is>
      </c>
      <c r="C7" s="42">
        <f>IF(NOT(ISNUMBER('경기 정보'!C21)),"",'경기 정보'!C21)</f>
        <v/>
      </c>
      <c r="D7" s="42">
        <f>SUM('투수 기록'!C2:C11)</f>
        <v/>
      </c>
      <c r="E7" s="46">
        <f>IF(OR(NOT(ISNUMBER(C7)),NOT(ISNUMBER(D7))),"",D7-C7)</f>
        <v/>
      </c>
      <c r="F7" s="49">
        <f>IF(NOT(ISNUMBER(C7)),"입력 대기",IF(C7=D7,"통과","확인 필요"))</f>
        <v/>
      </c>
      <c r="G7" s="21" t="inlineStr">
        <is>
          <t>경기 정보 C10 / 투수 기록 C</t>
        </is>
      </c>
    </row>
    <row r="8" ht="27.75" customHeight="1" s="70">
      <c r="B8" s="22" t="inlineStr">
        <is>
          <t>타점 합계 ≤ 득점 합계</t>
        </is>
      </c>
      <c r="C8" s="42">
        <f>SUM('타자 기록'!J2:J16)</f>
        <v/>
      </c>
      <c r="D8" s="42">
        <f>SUM('타자 기록'!K2:K16)</f>
        <v/>
      </c>
      <c r="E8" s="46">
        <f>IF(OR(NOT(ISNUMBER(C8)),NOT(ISNUMBER(D8))),"",D8-C8)</f>
        <v/>
      </c>
      <c r="F8" s="51">
        <f>IF(NOT(ISNUMBER('경기 정보'!C8)),"입력 대기",IF(D8&lt;=C8,"통과","확인 필요"))</f>
        <v/>
      </c>
      <c r="G8" s="21" t="inlineStr">
        <is>
          <t>타자 기록 J:K</t>
        </is>
      </c>
    </row>
    <row r="9" ht="27.75" customHeight="1" s="70">
      <c r="B9" s="22" t="inlineStr">
        <is>
          <t>타석 분해 일치</t>
        </is>
      </c>
      <c r="C9" s="42">
        <f>'타자 기록'!AB17</f>
        <v/>
      </c>
      <c r="D9" s="42">
        <f>SUM('타자 기록'!M17,'타자 기록'!R17,'타자 기록'!S17,'타자 기록'!AC17,'타자 기록'!AD17,'타자 기록'!AI17)</f>
        <v/>
      </c>
      <c r="E9" s="46">
        <f>IF(OR(NOT(ISNUMBER(C9)),NOT(ISNUMBER(D9))),"",D9-C9)</f>
        <v/>
      </c>
      <c r="F9" s="49">
        <f>IF(C9=0,"입력 대기",IF(C9=D9,"통과","확인 필요"))</f>
        <v/>
      </c>
      <c r="G9" s="21" t="inlineStr">
        <is>
          <t>PA = AB + BB + HBP + SF + SH + CI</t>
        </is>
      </c>
    </row>
    <row r="10" ht="27.75" customHeight="1" s="70">
      <c r="B10" s="22" t="inlineStr">
        <is>
          <t>타자 명단 9명 이상</t>
        </is>
      </c>
      <c r="C10" s="42">
        <f>9</f>
        <v/>
      </c>
      <c r="D10" s="42">
        <f>COUNTA('타자 기록'!B2:B16)</f>
        <v/>
      </c>
      <c r="E10" s="46">
        <f>IF(OR(NOT(ISNUMBER(C10)),NOT(ISNUMBER(D10))),"",D10-C10)</f>
        <v/>
      </c>
      <c r="F10" s="49">
        <f>IF(D10&gt;=C10,"통과","확인 필요")</f>
        <v/>
      </c>
      <c r="G10" s="21" t="inlineStr">
        <is>
          <t>교체 선수는 별도 행</t>
        </is>
      </c>
    </row>
    <row r="11" ht="27.75" customHeight="1" s="70">
      <c r="B11" s="22" t="inlineStr">
        <is>
          <t>투수 명단 1명 이상</t>
        </is>
      </c>
      <c r="C11" s="42">
        <f>1</f>
        <v/>
      </c>
      <c r="D11" s="42">
        <f>COUNTA('투수 기록'!A2:A11)</f>
        <v/>
      </c>
      <c r="E11" s="46">
        <f>IF(OR(NOT(ISNUMBER(C11)),NOT(ISNUMBER(D11))),"",D11-C11)</f>
        <v/>
      </c>
      <c r="F11" s="49">
        <f>IF(D11&gt;=C11,"통과","확인 필요")</f>
        <v/>
      </c>
      <c r="G11" s="21" t="inlineStr">
        <is>
          <t>투수 기록 A</t>
        </is>
      </c>
    </row>
    <row r="12" ht="27.75" customHeight="1" s="70">
      <c r="B12" s="22" t="inlineStr">
        <is>
          <t>선발 타순 1–9 각 1회</t>
        </is>
      </c>
      <c r="C12" s="42">
        <f>9</f>
        <v/>
      </c>
      <c r="D12" s="42">
        <f>IF(COUNTIF('타자 기록'!A2:A10,1)=1,1,0)+IF(COUNTIF('타자 기록'!A2:A10,2)=1,1,0)+IF(COUNTIF('타자 기록'!A2:A10,3)=1,1,0)+IF(COUNTIF('타자 기록'!A2:A10,4)=1,1,0)+IF(COUNTIF('타자 기록'!A2:A10,5)=1,1,0)+IF(COUNTIF('타자 기록'!A2:A10,6)=1,1,0)+IF(COUNTIF('타자 기록'!A2:A10,7)=1,1,0)+IF(COUNTIF('타자 기록'!A2:A10,8)=1,1,0)+IF(COUNTIF('타자 기록'!A2:A10,9)=1,1,0)</f>
        <v/>
      </c>
      <c r="E12" s="46">
        <f>IF(OR(NOT(ISNUMBER(C12)),NOT(ISNUMBER(D12))),"",D12-C12)</f>
        <v/>
      </c>
      <c r="F12" s="49">
        <f>IF(C12=D12,"통과","확인 필요")</f>
        <v/>
      </c>
      <c r="G12" s="21" t="inlineStr">
        <is>
          <t>2–10행 선발. 교체 행의 같은 타순은 허용.</t>
        </is>
      </c>
    </row>
    <row r="13" ht="27.75" customHeight="1" s="70">
      <c r="B13" s="22" t="inlineStr">
        <is>
          <t>승·패 표기와 점수 일치</t>
        </is>
      </c>
      <c r="C13" s="42">
        <f>1</f>
        <v/>
      </c>
      <c r="D13" s="42">
        <f>IF(OR(NOT(ISNUMBER('경기 정보'!C8)),NOT(ISNUMBER('경기 정보'!C9))),"",IF('경기 정보'!C8&gt;'경기 정보'!C9,IF(AND(COUNTIF('투수 기록'!B2:B11,"승")=1,COUNTIF('투수 기록'!B2:B11,"패")=0),1,0),IF('경기 정보'!C8&lt;'경기 정보'!C9,IF(AND(COUNTIF('투수 기록'!B2:B11,"패")=1,COUNTIF('투수 기록'!B2:B11,"승")=0),1,0),IF(COUNTIF('투수 기록'!B2:B11,"승")+COUNTIF('투수 기록'!B2:B11,"패")=0,1,0))))</f>
        <v/>
      </c>
      <c r="E13" s="46">
        <f>IF(OR(NOT(ISNUMBER(C13)),NOT(ISNUMBER(D13))),"",D13-C13)</f>
        <v/>
      </c>
      <c r="F13" s="49">
        <f>IF(NOT(ISNUMBER(D13)),"입력 대기",IF(C13=D13,"통과","확인 필요"))</f>
        <v/>
      </c>
      <c r="G13" s="21" t="inlineStr">
        <is>
          <t>무승부: 승·패 없음</t>
        </is>
      </c>
    </row>
    <row r="14" ht="27.75" customHeight="1" s="70">
      <c r="B14" s="22" t="inlineStr">
        <is>
          <t>경기 필수 정보 입력</t>
        </is>
      </c>
      <c r="C14" s="42">
        <f>5</f>
        <v/>
      </c>
      <c r="D14" s="42">
        <f>COUNTA('경기 정보'!C4:C5)+COUNTA('경기 정보'!C8:C10)</f>
        <v/>
      </c>
      <c r="E14" s="46">
        <f>IF(OR(NOT(ISNUMBER(C14)),NOT(ISNUMBER(D14))),"",D14-C14)</f>
        <v/>
      </c>
      <c r="F14" s="49">
        <f>IF(C14=D14,"통과","입력 대기")</f>
        <v/>
      </c>
      <c r="G14" s="21" t="inlineStr">
        <is>
          <t>날짜·상대팀·양 팀 점수·수비 이닝</t>
        </is>
      </c>
    </row>
    <row r="15" ht="27.75" customHeight="1" s="70">
      <c r="B15" s="22" t="inlineStr">
        <is>
          <t>목록 밖 타석 결과 없음</t>
        </is>
      </c>
      <c r="C15" s="42">
        <f>0</f>
        <v/>
      </c>
      <c r="D15" s="42">
        <f>'타자 기록'!AB17-(COUNTIF('타자 기록'!D2:I16,"안타")+COUNTIF('타자 기록'!V2:AA16,"안타")+COUNTIF('타자 기록'!D2:I16,"2루타")+COUNTIF('타자 기록'!V2:AA16,"2루타")+COUNTIF('타자 기록'!D2:I16,"3루타")+COUNTIF('타자 기록'!V2:AA16,"3루타")+COUNTIF('타자 기록'!D2:I16,"홈런")+COUNTIF('타자 기록'!V2:AA16,"홈런")+COUNTIF('타자 기록'!D2:I16,"삼진")+COUNTIF('타자 기록'!V2:AA16,"삼진")+COUNTIF('타자 기록'!D2:I16,"루킹삼진")+COUNTIF('타자 기록'!V2:AA16,"루킹삼진")+COUNTIF('타자 기록'!D2:I16,"땅볼")+COUNTIF('타자 기록'!V2:AA16,"땅볼")+COUNTIF('타자 기록'!D2:I16,"뜬공")+COUNTIF('타자 기록'!V2:AA16,"뜬공")+COUNTIF('타자 기록'!D2:I16,"직선타")+COUNTIF('타자 기록'!V2:AA16,"직선타")+COUNTIF('타자 기록'!D2:I16,"병살")+COUNTIF('타자 기록'!V2:AA16,"병살")+COUNTIF('타자 기록'!D2:I16,"실책출루")+COUNTIF('타자 기록'!V2:AA16,"실책출루")+COUNTIF('타자 기록'!D2:I16,"야수선택")+COUNTIF('타자 기록'!V2:AA16,"야수선택")+COUNTIF('타자 기록'!D2:I16,"볼넷")+COUNTIF('타자 기록'!V2:AA16,"볼넷")+COUNTIF('타자 기록'!D2:I16,"사구")+COUNTIF('타자 기록'!V2:AA16,"사구")+COUNTIF('타자 기록'!D2:I16,"희생플라이")+COUNTIF('타자 기록'!V2:AA16,"희생플라이")+COUNTIF('타자 기록'!D2:I16,"희생번트")+COUNTIF('타자 기록'!V2:AA16,"희생번트")+COUNTIF('타자 기록'!D2:I16,"낫아웃출루")+COUNTIF('타자 기록'!V2:AA16,"낫아웃출루")+COUNTIF('타자 기록'!D2:I16,"포수방해")+COUNTIF('타자 기록'!V2:AA16,"포수방해"))</f>
        <v/>
      </c>
      <c r="E15" s="46">
        <f>IF(OR(NOT(ISNUMBER(C15)),NOT(ISNUMBER(D15))),"",D15-C15)</f>
        <v/>
      </c>
      <c r="F15" s="49">
        <f>IF(C15=D15,"통과","확인 필요")</f>
        <v/>
      </c>
      <c r="G15" s="21" t="inlineStr">
        <is>
          <t>붙여넣기 입력도 목록과 대조</t>
        </is>
      </c>
    </row>
    <row r="16" ht="27.75" customHeight="1" s="70">
      <c r="B16" s="22" t="inlineStr">
        <is>
          <t>이름 없는 타자 입력 없음</t>
        </is>
      </c>
      <c r="C16" s="42">
        <f>0</f>
        <v/>
      </c>
      <c r="D16" s="42">
        <f>SUMPRODUCT(--('타자 기록'!B2:B16=""),'타자 기록'!AB2:AB16)+SUMIFS('타자 기록'!J2:J16,'타자 기록'!B2:B16,"")+SUMIFS('타자 기록'!K2:K16,'타자 기록'!B2:B16,"")+SUMIFS('타자 기록'!L2:L16,'타자 기록'!B2:B16,"")</f>
        <v/>
      </c>
      <c r="E16" s="46">
        <f>IF(OR(NOT(ISNUMBER(C16)),NOT(ISNUMBER(D16))),"",D16-C16)</f>
        <v/>
      </c>
      <c r="F16" s="49">
        <f>IF(C16=D16,"통과","확인 필요")</f>
        <v/>
      </c>
      <c r="G16" s="21" t="inlineStr">
        <is>
          <t>타자 기록 이름·타석·주루 기록</t>
        </is>
      </c>
    </row>
    <row r="17" ht="27.75" customHeight="1" s="70">
      <c r="B17" s="22" t="inlineStr">
        <is>
          <t>자책점 ≤ 실점 (행별)</t>
        </is>
      </c>
      <c r="C17" s="42">
        <f>0</f>
        <v/>
      </c>
      <c r="D17" s="42">
        <f>SUMPRODUCT(--('투수 기록'!H2:H11&gt;'투수 기록'!G2:G11))</f>
        <v/>
      </c>
      <c r="E17" s="46">
        <f>IF(OR(NOT(ISNUMBER(C17)),NOT(ISNUMBER(D17))),"",D17-C17)</f>
        <v/>
      </c>
      <c r="F17" s="49">
        <f>IF(C17=D17,"통과","확인 필요")</f>
        <v/>
      </c>
      <c r="G17" s="21" t="inlineStr">
        <is>
          <t>투수 기록 G:H</t>
        </is>
      </c>
    </row>
    <row r="18" ht="27.75" customHeight="1" s="70">
      <c r="B18" s="22" t="inlineStr">
        <is>
          <t>피홈런 ≤ 피안타 (행별)</t>
        </is>
      </c>
      <c r="C18" s="42">
        <f>0</f>
        <v/>
      </c>
      <c r="D18" s="42">
        <f>SUMPRODUCT(--('투수 기록'!L2:L11&gt;'투수 기록'!F2:F11))</f>
        <v/>
      </c>
      <c r="E18" s="46">
        <f>IF(OR(NOT(ISNUMBER(C18)),NOT(ISNUMBER(D18))),"",D18-C18)</f>
        <v/>
      </c>
      <c r="F18" s="49">
        <f>IF(C18=D18,"통과","확인 필요")</f>
        <v/>
      </c>
      <c r="G18" s="21" t="inlineStr">
        <is>
          <t>투수 기록 F:L</t>
        </is>
      </c>
    </row>
    <row r="19" ht="27.75" customHeight="1" s="70">
      <c r="B19" s="22" t="inlineStr">
        <is>
          <t>투수 필수 숫자 입력 완료</t>
        </is>
      </c>
      <c r="C19" s="42">
        <f>0</f>
        <v/>
      </c>
      <c r="D19" s="42">
        <f>IF('투수 기록'!A2="",0,9-COUNT('투수 기록'!C2,'투수 기록'!E2:L2))+IF('투수 기록'!A3="",0,9-COUNT('투수 기록'!C3,'투수 기록'!E3:L3))+IF('투수 기록'!A4="",0,9-COUNT('투수 기록'!C4,'투수 기록'!E4:L4))+IF('투수 기록'!A5="",0,9-COUNT('투수 기록'!C5,'투수 기록'!E5:L5))+IF('투수 기록'!A6="",0,9-COUNT('투수 기록'!C6,'투수 기록'!E6:L6))+IF('투수 기록'!A7="",0,9-COUNT('투수 기록'!C7,'투수 기록'!E7:L7))+IF('투수 기록'!A8="",0,9-COUNT('투수 기록'!C8,'투수 기록'!E8:L8))+IF('투수 기록'!A9="",0,9-COUNT('투수 기록'!C9,'투수 기록'!E9:L9))+IF('투수 기록'!A10="",0,9-COUNT('투수 기록'!C10,'투수 기록'!E10:L10))+IF('투수 기록'!A11="",0,9-COUNT('투수 기록'!C11,'투수 기록'!E11:L11))</f>
        <v/>
      </c>
      <c r="E19" s="46">
        <f>IF(OR(NOT(ISNUMBER(C19)),NOT(ISNUMBER(D19))),"",D19-C19)</f>
        <v/>
      </c>
      <c r="F19" s="49">
        <f>IF(C19=D19,"통과","입력 대기")</f>
        <v/>
      </c>
      <c r="G19" s="21" t="inlineStr">
        <is>
          <t>C 및 E:L = 총 9칸. 기록 없으면 0</t>
        </is>
      </c>
    </row>
    <row r="20" ht="27.75" customHeight="1" s="70">
      <c r="B20" s="22" t="inlineStr">
        <is>
          <t>수비 이닝 표기 유효</t>
        </is>
      </c>
      <c r="C20" s="42">
        <f>1</f>
        <v/>
      </c>
      <c r="D20" s="42">
        <f>IF(NOT(ISNUMBER('경기 정보'!C10)),"",IF(AND('경기 정보'!C10&gt;=0,OR(ABS(MOD('경기 정보'!C10,1))&lt;0.000001,ABS(MOD('경기 정보'!C10,1)-0.1)&lt;0.000001,ABS(MOD('경기 정보'!C10,1)-0.2)&lt;0.000001)),1,0))</f>
        <v/>
      </c>
      <c r="E20" s="46">
        <f>IF(OR(NOT(ISNUMBER(C20)),NOT(ISNUMBER(D20))),"",D20-C20)</f>
        <v/>
      </c>
      <c r="F20" s="49">
        <f>IF(NOT(ISNUMBER(D20)),"입력 대기",IF(C20=D20,"통과","확인 필요"))</f>
        <v/>
      </c>
      <c r="G20" s="21" t="inlineStr">
        <is>
          <t>정수 또는 .1 / .2만 사용</t>
        </is>
      </c>
    </row>
    <row r="21" ht="27.75" customHeight="1" s="70">
      <c r="B21" s="22" t="inlineStr">
        <is>
          <t>플레이 판정 확인</t>
        </is>
      </c>
      <c r="C21" s="42">
        <f>1</f>
        <v/>
      </c>
      <c r="D21" s="42">
        <f>IF('경기 정보'!C25="확인 완료",1,0)</f>
        <v/>
      </c>
      <c r="E21" s="46">
        <f>IF(OR(NOT(ISNUMBER(C21)),NOT(ISNUMBER(D21))),"",D21-C21)</f>
        <v/>
      </c>
      <c r="F21" s="49">
        <f>IF(D21=1,"통과","확인 필요")</f>
        <v/>
      </c>
      <c r="G21" s="21" t="inlineStr">
        <is>
          <t>안타·실책·타점·자책점</t>
        </is>
      </c>
    </row>
    <row r="22" ht="27.75" customHeight="1" s="70">
      <c r="B22" s="22" t="inlineStr">
        <is>
          <t>교차 기록 또는 재확인</t>
        </is>
      </c>
      <c r="C22" s="42">
        <f>1</f>
        <v/>
      </c>
      <c r="D22" s="42">
        <f>IF(OR('경기 정보'!C26="대조 완료",'경기 정보'!C26="1인 기록 재확인"),1,0)</f>
        <v/>
      </c>
      <c r="E22" s="46">
        <f>IF(OR(NOT(ISNUMBER(C22)),NOT(ISNUMBER(D22))),"",D22-C22)</f>
        <v/>
      </c>
      <c r="F22" s="49">
        <f>IF(D22=1,"통과","확인 필요")</f>
        <v/>
      </c>
      <c r="G22" s="21" t="inlineStr">
        <is>
          <t>경기 정보 C26</t>
        </is>
      </c>
    </row>
    <row r="23" ht="27.75" customHeight="1" s="70">
      <c r="B23" s="22" t="inlineStr">
        <is>
          <t>검수 담당·완료일 입력</t>
        </is>
      </c>
      <c r="C23" s="42">
        <f>4</f>
        <v/>
      </c>
      <c r="D23" s="42">
        <f>COUNTA('경기 정보'!C12)+COUNTA('경기 정보'!C14:C16)</f>
        <v/>
      </c>
      <c r="E23" s="46">
        <f>IF(OR(NOT(ISNUMBER(C23)),NOT(ISNUMBER(D23))),"",D23-C23)</f>
        <v/>
      </c>
      <c r="F23" s="49">
        <f>IF(C23=D23,"통과","입력 대기")</f>
        <v/>
      </c>
      <c r="G23" s="21" t="inlineStr">
        <is>
          <t>기록원 A / 1·2차 검수 / 완료일</t>
        </is>
      </c>
    </row>
    <row r="24" ht="27.75" customHeight="1" s="70">
      <c r="B24" s="22" t="inlineStr">
        <is>
          <t>3일 이내 검수·시스템 입력</t>
        </is>
      </c>
      <c r="C24" s="42">
        <f>1</f>
        <v/>
      </c>
      <c r="D24" s="42">
        <f>IF(OR(NOT(ISNUMBER('경기 정보'!C16)),NOT(ISNUMBER('경기 정보'!C22)),NOT(ISNUMBER('경기 정보'!C4))),"",IF(AND('경기 정보'!C16&gt;='경기 정보'!C4,'경기 정보'!C22&gt;='경기 정보'!C4,MAX('경기 정보'!C16,'경기 정보'!C22)&lt;='경기 정보'!C23),1,0))</f>
        <v/>
      </c>
      <c r="E24" s="46">
        <f>IF(OR(NOT(ISNUMBER(C24)),NOT(ISNUMBER(D24))),"",D24-C24)</f>
        <v/>
      </c>
      <c r="F24" s="49">
        <f>IF(NOT(ISNUMBER(D24)),"입력 대기",IF(D24=1,"통과","확인 필요"))</f>
        <v/>
      </c>
      <c r="G24" s="21" t="inlineStr">
        <is>
          <t>완료일은 경기일 이상·경기일+3 이하</t>
        </is>
      </c>
    </row>
    <row r="25" ht="30" customHeight="1" s="70">
      <c r="B25" s="22" t="inlineStr">
        <is>
          <t>음수·소수·문자 숫자 입력 없음</t>
        </is>
      </c>
      <c r="C25" s="42">
        <f>0</f>
        <v/>
      </c>
      <c r="D25" s="42">
        <f>SUMPRODUCT(--('타자 기록'!J2:L16&lt;0))+SUMPRODUCT(--('투수 기록'!C2:C11&lt;0))+SUMPRODUCT(--('투수 기록'!E2:L11&lt;0))+SUMPRODUCT(--(MOD(N('타자 기록'!J2:L16),1)&lt;&gt;0))+SUMPRODUCT(--(MOD(N('투수 기록'!C2:C11),1)&lt;&gt;0))+SUMPRODUCT(--(MOD(N('투수 기록'!E2:L11),1)&lt;&gt;0))+COUNTA('타자 기록'!J2:L16)-COUNT('타자 기록'!J2:L16)+COUNTA('투수 기록'!C2:C11)-COUNT('투수 기록'!C2:C11)+COUNTA('투수 기록'!E2:L11)-COUNT('투수 기록'!E2:L11)</f>
        <v/>
      </c>
      <c r="E25" s="42">
        <f>D25-C25</f>
        <v/>
      </c>
      <c r="F25" s="49">
        <f>IF(D25=0,"통과","확인 필요")</f>
        <v/>
      </c>
      <c r="G25" s="21" t="inlineStr">
        <is>
          <t>입력 수치는 0 이상의 정수. 붙여넣기 포함.</t>
        </is>
      </c>
    </row>
    <row r="26" ht="30" customHeight="1" s="70">
      <c r="B26" s="22" t="inlineStr">
        <is>
          <t>이름 없는 투수 입력 없음</t>
        </is>
      </c>
      <c r="C26" s="42">
        <f>0</f>
        <v/>
      </c>
      <c r="D26" s="42">
        <f>IF('투수 기록'!A2="",COUNTA('투수 기록'!B2:C2)+COUNTA('투수 기록'!E2:L2),0)+IF('투수 기록'!A3="",COUNTA('투수 기록'!B3:C3)+COUNTA('투수 기록'!E3:L3),0)+IF('투수 기록'!A4="",COUNTA('투수 기록'!B4:C4)+COUNTA('투수 기록'!E4:L4),0)+IF('투수 기록'!A5="",COUNTA('투수 기록'!B5:C5)+COUNTA('투수 기록'!E5:L5),0)+IF('투수 기록'!A6="",COUNTA('투수 기록'!B6:C6)+COUNTA('투수 기록'!E6:L6),0)+IF('투수 기록'!A7="",COUNTA('투수 기록'!B7:C7)+COUNTA('투수 기록'!E7:L7),0)+IF('투수 기록'!A8="",COUNTA('투수 기록'!B8:C8)+COUNTA('투수 기록'!E8:L8),0)+IF('투수 기록'!A9="",COUNTA('투수 기록'!B9:C9)+COUNTA('투수 기록'!E9:L9),0)+IF('투수 기록'!A10="",COUNTA('투수 기록'!B10:C10)+COUNTA('투수 기록'!E10:L10),0)+IF('투수 기록'!A11="",COUNTA('투수 기록'!B11:C11)+COUNTA('투수 기록'!E11:L11),0)</f>
        <v/>
      </c>
      <c r="E26" s="42">
        <f>D26-C26</f>
        <v/>
      </c>
      <c r="F26" s="49">
        <f>IF(D26=0,"통과","확인 필요")</f>
        <v/>
      </c>
      <c r="G26" s="21" t="inlineStr">
        <is>
          <t>투수 이름 없이 결과·숫자 입력 금지.</t>
        </is>
      </c>
    </row>
    <row r="27" ht="27.75" customHeight="1" s="70">
      <c r="B27" s="22" t="inlineStr">
        <is>
          <t>검수 요약</t>
        </is>
      </c>
      <c r="C27" s="42" t="n"/>
      <c r="D27" s="42" t="n"/>
      <c r="E27" s="42" t="n"/>
      <c r="F27" s="49">
        <f>IF(COUNTIF(F5:F26,"확인 필요")&gt;0,"확인 필요",IF(COUNTIF(F5:F26,"입력 대기")&gt;0,"입력 대기","검수 완료"))</f>
        <v/>
      </c>
    </row>
    <row r="28" ht="15.75" customHeight="1" s="70"/>
    <row r="29" ht="15.75" customHeight="1" s="70"/>
    <row r="30" ht="15.75" customHeight="1" s="70">
      <c r="B30" s="22" t="inlineStr">
        <is>
          <t>1차: 숫자 대조 및 입력 누락 수정. 2차: 단장·감독의 플레이 판정·운영 해석 확인.</t>
        </is>
      </c>
    </row>
    <row r="31" ht="15.75" customHeight="1" s="70">
      <c r="B31" s="22" t="inlineStr">
        <is>
          <t>가능하면 2인 교차 기록, 경기 직후 대조. 경기 종료 후 3일 이내 검수·시스템 입력 완료.</t>
        </is>
      </c>
    </row>
    <row r="32" ht="15.75" customHeight="1" s="70"/>
    <row r="33" ht="15.75" customHeight="1" s="70">
      <c r="B33" s="22" t="inlineStr">
        <is>
          <t>수정 이력</t>
        </is>
      </c>
    </row>
    <row r="34" ht="30" customHeight="1" s="70">
      <c r="B34" s="6" t="inlineStr">
        <is>
          <t>일자</t>
        </is>
      </c>
      <c r="C34" s="6" t="inlineStr">
        <is>
          <t>수정자</t>
        </is>
      </c>
      <c r="D34" s="6" t="inlineStr">
        <is>
          <t>위치</t>
        </is>
      </c>
      <c r="E34" s="6" t="inlineStr">
        <is>
          <t>변경 전 / 후</t>
        </is>
      </c>
      <c r="F34" s="6" t="inlineStr">
        <is>
          <t>수정 근거</t>
        </is>
      </c>
    </row>
    <row r="35" ht="15.75" customHeight="1" s="70">
      <c r="B35" s="26" t="n"/>
      <c r="C35" s="30" t="n"/>
      <c r="D35" s="30" t="n"/>
      <c r="E35" s="30" t="n"/>
      <c r="F35" s="30" t="n"/>
    </row>
    <row r="36" ht="15.75" customHeight="1" s="70">
      <c r="B36" s="26" t="n"/>
      <c r="C36" s="30" t="n"/>
      <c r="D36" s="30" t="n"/>
      <c r="E36" s="30" t="n"/>
      <c r="F36" s="30" t="n"/>
    </row>
    <row r="37" ht="15.75" customHeight="1" s="70">
      <c r="B37" s="26" t="n"/>
      <c r="C37" s="30" t="n"/>
      <c r="D37" s="30" t="n"/>
      <c r="E37" s="30" t="n"/>
      <c r="F37" s="30" t="n"/>
    </row>
    <row r="38" ht="15.75" customHeight="1" s="70">
      <c r="B38" s="26" t="n"/>
      <c r="C38" s="30" t="n"/>
      <c r="D38" s="30" t="n"/>
      <c r="E38" s="30" t="n"/>
      <c r="F38" s="30" t="n"/>
    </row>
    <row r="39" ht="15.75" customHeight="1" s="70">
      <c r="B39" s="26" t="n"/>
      <c r="C39" s="30" t="n"/>
      <c r="D39" s="30" t="n"/>
      <c r="E39" s="30" t="n"/>
      <c r="F39" s="30" t="n"/>
    </row>
    <row r="40" ht="15.75" customHeight="1" s="70">
      <c r="B40" s="26" t="n"/>
      <c r="C40" s="30" t="n"/>
      <c r="D40" s="30" t="n"/>
      <c r="E40" s="30" t="n"/>
      <c r="F40" s="30" t="n"/>
    </row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1">
    <mergeCell ref="B1:E1"/>
  </mergeCells>
  <conditionalFormatting sqref="E5:E14">
    <cfRule type="expression" priority="1" dxfId="0">
      <formula>E5="확인 필요"</formula>
    </cfRule>
    <cfRule type="expression" priority="2" dxfId="1">
      <formula>E5="통과"</formula>
    </cfRule>
  </conditionalFormatting>
  <conditionalFormatting sqref="F5:F27">
    <cfRule type="containsText" priority="3" operator="containsText" dxfId="2" text="확인 필요">
      <formula>NOT(ISERROR(SEARCH(("확인 필요"),(F5))))</formula>
    </cfRule>
    <cfRule type="containsText" priority="4" operator="containsText" dxfId="3" text="입력 대기">
      <formula>NOT(ISERROR(SEARCH(("입력 대기"),(F5))))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B91C36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70" min="1" max="1"/>
    <col width="23" customWidth="1" style="70" min="2" max="2"/>
    <col width="17" customWidth="1" style="70" min="3" max="3"/>
    <col width="3" customWidth="1" style="70" min="4" max="4"/>
    <col width="23" customWidth="1" style="70" min="5" max="5"/>
    <col width="17" customWidth="1" style="70" min="6" max="6"/>
    <col width="3" customWidth="1" style="70" min="7" max="7"/>
    <col width="23" customWidth="1" style="70" min="8" max="8"/>
    <col width="17" customWidth="1" style="70" min="9" max="9"/>
    <col width="8.710000000000001" customWidth="1" style="70" min="10" max="26"/>
  </cols>
  <sheetData>
    <row r="1">
      <c r="A1" s="4" t="n"/>
    </row>
    <row r="2">
      <c r="B2" s="44" t="inlineStr">
        <is>
          <t>UTAH DEVILS 경기 요약</t>
        </is>
      </c>
      <c r="C2" s="45" t="n"/>
      <c r="D2" s="45" t="n"/>
      <c r="E2" s="45" t="n"/>
      <c r="F2" s="45" t="n"/>
      <c r="G2" s="45" t="n"/>
      <c r="H2" s="45" t="n"/>
      <c r="I2" s="45" t="n"/>
    </row>
    <row r="3">
      <c r="B3" s="45" t="n"/>
      <c r="C3" s="45" t="n"/>
      <c r="D3" s="45" t="n"/>
      <c r="E3" s="45" t="n"/>
      <c r="F3" s="45" t="n"/>
      <c r="G3" s="45" t="n"/>
      <c r="H3" s="45" t="n"/>
      <c r="I3" s="45" t="n"/>
    </row>
    <row r="4" ht="30" customHeight="1" s="70">
      <c r="B4" s="6" t="inlineStr">
        <is>
          <t>경기 정보</t>
        </is>
      </c>
      <c r="C4" s="6" t="inlineStr">
        <is>
          <t>값</t>
        </is>
      </c>
      <c r="D4" s="47" t="n"/>
      <c r="E4" s="6" t="inlineStr">
        <is>
          <t>공격 지표</t>
        </is>
      </c>
      <c r="F4" s="6" t="inlineStr">
        <is>
          <t>값</t>
        </is>
      </c>
      <c r="G4" s="47" t="n"/>
      <c r="H4" s="6" t="inlineStr">
        <is>
          <t>투수 지표</t>
        </is>
      </c>
      <c r="I4" s="6" t="inlineStr">
        <is>
          <t>값</t>
        </is>
      </c>
    </row>
    <row r="5" ht="25.5" customHeight="1" s="70">
      <c r="B5" s="47" t="inlineStr">
        <is>
          <t>날짜</t>
        </is>
      </c>
      <c r="C5" s="50">
        <f>IF(NOT(ISNUMBER('경기 정보'!C4)),"",'경기 정보'!C4)</f>
        <v/>
      </c>
      <c r="D5" s="47" t="n"/>
      <c r="E5" s="47" t="inlineStr">
        <is>
          <t>PA</t>
        </is>
      </c>
      <c r="F5" s="47">
        <f>IF('타자 기록'!AB17=0,"",'타자 기록'!AB17)</f>
        <v/>
      </c>
      <c r="G5" s="47" t="n"/>
      <c r="H5" s="47" t="inlineStr">
        <is>
          <t>수비 아웃</t>
        </is>
      </c>
      <c r="I5" s="47">
        <f>IF(COUNTA('투수 기록'!A2:A11)=0,"",'투수 기록'!C12)</f>
        <v/>
      </c>
    </row>
    <row r="6" ht="25.5" customHeight="1" s="70">
      <c r="B6" s="47" t="inlineStr">
        <is>
          <t>상대팀</t>
        </is>
      </c>
      <c r="C6" s="47">
        <f>IF('경기 정보'!C5="","",'경기 정보'!C5)</f>
        <v/>
      </c>
      <c r="D6" s="47" t="n"/>
      <c r="E6" s="47" t="inlineStr">
        <is>
          <t>AB</t>
        </is>
      </c>
      <c r="F6" s="47">
        <f>IF('타자 기록'!AB17=0,"",'타자 기록'!M17)</f>
        <v/>
      </c>
      <c r="G6" s="47" t="n"/>
      <c r="H6" s="47" t="inlineStr">
        <is>
          <t>실제 이닝</t>
        </is>
      </c>
      <c r="I6" s="52">
        <f>IF(COUNTA('투수 기록'!A2:A11)=0,"",'투수 기록'!D12)</f>
        <v/>
      </c>
    </row>
    <row r="7" ht="25.5" customHeight="1" s="70">
      <c r="B7" s="47" t="inlineStr">
        <is>
          <t>홈 / 원정</t>
        </is>
      </c>
      <c r="C7" s="47">
        <f>IF('경기 정보'!C6="","",'경기 정보'!C6)</f>
        <v/>
      </c>
      <c r="D7" s="47" t="n"/>
      <c r="E7" s="47" t="inlineStr">
        <is>
          <t>H</t>
        </is>
      </c>
      <c r="F7" s="47">
        <f>IF('타자 기록'!AB17=0,"",'타자 기록'!N17)</f>
        <v/>
      </c>
      <c r="G7" s="47" t="n"/>
      <c r="H7" s="47" t="inlineStr">
        <is>
          <t>야구 이닝 표기</t>
        </is>
      </c>
      <c r="I7" s="47">
        <f>IF(COUNTA('투수 기록'!A2:A11)=0,"",'투수 기록'!R12)</f>
        <v/>
      </c>
    </row>
    <row r="8" ht="25.5" customHeight="1" s="70">
      <c r="B8" s="47" t="inlineStr">
        <is>
          <t>우리 점수</t>
        </is>
      </c>
      <c r="C8" s="47">
        <f>IF(NOT(ISNUMBER('경기 정보'!C8)),"",'경기 정보'!C8)</f>
        <v/>
      </c>
      <c r="D8" s="47" t="n"/>
      <c r="E8" s="47" t="inlineStr">
        <is>
          <t>AVG</t>
        </is>
      </c>
      <c r="F8" s="54">
        <f>IF('타자 기록'!AB17=0,"",'타자 기록'!U17)</f>
        <v/>
      </c>
      <c r="G8" s="47" t="n"/>
      <c r="H8" s="47" t="inlineStr">
        <is>
          <t>ERA</t>
        </is>
      </c>
      <c r="I8" s="52">
        <f>IF(COUNTA('투수 기록'!A2:A11)=0,"",'투수 기록'!M12)</f>
        <v/>
      </c>
    </row>
    <row r="9" ht="25.5" customHeight="1" s="70">
      <c r="B9" s="47" t="inlineStr">
        <is>
          <t>상대 점수</t>
        </is>
      </c>
      <c r="C9" s="47">
        <f>IF(NOT(ISNUMBER('경기 정보'!C9)),"",'경기 정보'!C9)</f>
        <v/>
      </c>
      <c r="D9" s="47" t="n"/>
      <c r="E9" s="47" t="inlineStr">
        <is>
          <t>OBP</t>
        </is>
      </c>
      <c r="F9" s="54">
        <f>IF('타자 기록'!AB17=0,"",'타자 기록'!AF17)</f>
        <v/>
      </c>
      <c r="G9" s="47" t="n"/>
      <c r="H9" s="47" t="inlineStr">
        <is>
          <t>WHIP</t>
        </is>
      </c>
      <c r="I9" s="52">
        <f>IF(COUNTA('투수 기록'!A2:A11)=0,"",'투수 기록'!N12)</f>
        <v/>
      </c>
    </row>
    <row r="10" ht="25.5" customHeight="1" s="70">
      <c r="B10" s="47" t="inlineStr">
        <is>
          <t>검수·입력 마감일</t>
        </is>
      </c>
      <c r="C10" s="50">
        <f>IF(NOT(ISNUMBER('경기 정보'!C23)),"",'경기 정보'!C23)</f>
        <v/>
      </c>
      <c r="D10" s="47" t="n"/>
      <c r="E10" s="47" t="inlineStr">
        <is>
          <t>SLG</t>
        </is>
      </c>
      <c r="F10" s="54">
        <f>IF('타자 기록'!AB17=0,"",'타자 기록'!AG17)</f>
        <v/>
      </c>
      <c r="G10" s="47" t="n"/>
      <c r="H10" s="47" t="inlineStr">
        <is>
          <t>K/BB</t>
        </is>
      </c>
      <c r="I10" s="52">
        <f>IF(COUNTA('투수 기록'!A2:A11)=0,"",'투수 기록'!O12)</f>
        <v/>
      </c>
    </row>
    <row r="11" ht="25.5" customHeight="1" s="70">
      <c r="B11" s="47" t="n"/>
      <c r="C11" s="47" t="n"/>
      <c r="D11" s="47" t="n"/>
      <c r="E11" s="47" t="inlineStr">
        <is>
          <t>OPS</t>
        </is>
      </c>
      <c r="F11" s="54">
        <f>IF('타자 기록'!AB17=0,"",'타자 기록'!AH17)</f>
        <v/>
      </c>
      <c r="G11" s="47" t="n"/>
      <c r="H11" s="47" t="inlineStr">
        <is>
          <t>K/9</t>
        </is>
      </c>
      <c r="I11" s="52">
        <f>IF(COUNTA('투수 기록'!A2:A11)=0,"",'투수 기록'!P12)</f>
        <v/>
      </c>
    </row>
    <row r="12" ht="25.5" customHeight="1" s="70">
      <c r="B12" s="47" t="inlineStr">
        <is>
          <t>경기 결과</t>
        </is>
      </c>
      <c r="C12" s="47">
        <f>IF(OR(NOT(ISNUMBER('경기 정보'!C8)),NOT(ISNUMBER('경기 정보'!C9))),"입력 대기",IF('경기 정보'!C8&gt;'경기 정보'!C9,"승",IF('경기 정보'!C8&lt;'경기 정보'!C9,"패","무승부")))</f>
        <v/>
      </c>
      <c r="D12" s="47" t="n"/>
      <c r="E12" s="47" t="inlineStr">
        <is>
          <t>BB%</t>
        </is>
      </c>
      <c r="F12" s="55">
        <f>IF('타자 기록'!AB17=0,"",'타자 기록'!AN17)</f>
        <v/>
      </c>
      <c r="G12" s="47" t="n"/>
      <c r="H12" s="47" t="inlineStr">
        <is>
          <t>BB/9</t>
        </is>
      </c>
      <c r="I12" s="52">
        <f>IF(COUNTA('투수 기록'!A2:A11)=0,"",'투수 기록'!Q12)</f>
        <v/>
      </c>
    </row>
    <row r="13" ht="25.5" customHeight="1" s="70">
      <c r="B13" s="47" t="n"/>
      <c r="C13" s="47" t="n"/>
      <c r="D13" s="47" t="n"/>
      <c r="E13" s="47" t="inlineStr">
        <is>
          <t>K%</t>
        </is>
      </c>
      <c r="F13" s="55">
        <f>IF('타자 기록'!AB17=0,"",'타자 기록'!AO17)</f>
        <v/>
      </c>
      <c r="G13" s="47" t="n"/>
      <c r="H13" s="47" t="n"/>
      <c r="I13" s="47" t="n"/>
    </row>
    <row r="14" ht="25.5" customHeight="1" s="70">
      <c r="B14" s="47" t="n"/>
      <c r="C14" s="47" t="n"/>
      <c r="D14" s="47" t="n"/>
      <c r="E14" s="47" t="n"/>
      <c r="F14" s="47" t="n"/>
      <c r="G14" s="47" t="n"/>
      <c r="H14" s="47" t="n"/>
      <c r="I14" s="47" t="n"/>
    </row>
    <row r="15" ht="25.5" customHeight="1" s="70">
      <c r="B15" s="47" t="inlineStr">
        <is>
          <t>타격 구성</t>
        </is>
      </c>
      <c r="C15" s="47" t="n"/>
      <c r="D15" s="47" t="n"/>
      <c r="E15" s="47" t="n"/>
      <c r="F15" s="47" t="n"/>
      <c r="G15" s="47" t="n"/>
      <c r="H15" s="47" t="n"/>
      <c r="I15" s="47" t="n"/>
    </row>
    <row r="16" ht="30" customHeight="1" s="70">
      <c r="B16" s="6" t="inlineStr">
        <is>
          <t>결과</t>
        </is>
      </c>
      <c r="C16" s="6" t="inlineStr">
        <is>
          <t>횟수</t>
        </is>
      </c>
      <c r="D16" s="47" t="n"/>
      <c r="E16" s="47" t="inlineStr">
        <is>
          <t>경기 리뷰</t>
        </is>
      </c>
      <c r="F16" s="47" t="n"/>
      <c r="G16" s="47" t="n"/>
      <c r="H16" s="47" t="n"/>
      <c r="I16" s="47" t="n"/>
    </row>
    <row r="17" ht="25.5" customHeight="1" s="70">
      <c r="B17" s="47" t="inlineStr">
        <is>
          <t>단타</t>
        </is>
      </c>
      <c r="C17" s="47">
        <f>IF('타자 기록'!AB17=0,"",'타자 기록'!AM17)</f>
        <v/>
      </c>
      <c r="D17" s="47" t="n"/>
      <c r="E17" s="47" t="n"/>
      <c r="F17" s="47" t="n"/>
      <c r="G17" s="47" t="n"/>
      <c r="H17" s="47" t="n"/>
      <c r="I17" s="47" t="n"/>
    </row>
    <row r="18" ht="25.5" customHeight="1" s="70">
      <c r="B18" s="47" t="inlineStr">
        <is>
          <t>2루타</t>
        </is>
      </c>
      <c r="C18" s="47">
        <f>IF('타자 기록'!AB17=0,"",'타자 기록'!O17)</f>
        <v/>
      </c>
      <c r="D18" s="47" t="n"/>
      <c r="E18" s="47" t="inlineStr">
        <is>
          <t>잘한 점</t>
        </is>
      </c>
      <c r="F18" s="71" t="n"/>
    </row>
    <row r="19" ht="25.5" customHeight="1" s="70">
      <c r="B19" s="47" t="inlineStr">
        <is>
          <t>3루타</t>
        </is>
      </c>
      <c r="C19" s="47">
        <f>IF('타자 기록'!AB17=0,"",'타자 기록'!P17)</f>
        <v/>
      </c>
      <c r="D19" s="47" t="n"/>
      <c r="E19" s="47" t="n"/>
    </row>
    <row r="20" ht="25.5" customHeight="1" s="70">
      <c r="B20" s="47" t="inlineStr">
        <is>
          <t>홈런</t>
        </is>
      </c>
      <c r="C20" s="47">
        <f>IF('타자 기록'!AB17=0,"",'타자 기록'!Q17)</f>
        <v/>
      </c>
      <c r="D20" s="47" t="n"/>
      <c r="E20" s="47" t="n"/>
      <c r="F20" s="47" t="n"/>
      <c r="G20" s="47" t="n"/>
      <c r="H20" s="47" t="n"/>
      <c r="I20" s="47" t="n"/>
    </row>
    <row r="21" ht="25.5" customHeight="1" s="70">
      <c r="B21" s="47" t="inlineStr">
        <is>
          <t>볼넷</t>
        </is>
      </c>
      <c r="C21" s="47">
        <f>IF('타자 기록'!AB17=0,"",'타자 기록'!R17)</f>
        <v/>
      </c>
      <c r="D21" s="47" t="n"/>
      <c r="E21" s="47" t="inlineStr">
        <is>
          <t>보완할 점</t>
        </is>
      </c>
      <c r="F21" s="71" t="n"/>
    </row>
    <row r="22" ht="25.5" customHeight="1" s="70">
      <c r="B22" s="47" t="inlineStr">
        <is>
          <t>사구</t>
        </is>
      </c>
      <c r="C22" s="47">
        <f>IF('타자 기록'!AB17=0,"",'타자 기록'!S17)</f>
        <v/>
      </c>
      <c r="D22" s="47" t="n"/>
      <c r="E22" s="47" t="n"/>
    </row>
    <row r="23" ht="25.5" customHeight="1" s="70">
      <c r="B23" s="47" t="inlineStr">
        <is>
          <t>삼진</t>
        </is>
      </c>
      <c r="C23" s="47">
        <f>IF('타자 기록'!AB17=0,"",'타자 기록'!T17)</f>
        <v/>
      </c>
      <c r="D23" s="47" t="n"/>
      <c r="E23" s="47" t="n"/>
      <c r="F23" s="47" t="n"/>
      <c r="G23" s="47" t="n"/>
      <c r="H23" s="47" t="n"/>
      <c r="I23" s="47" t="n"/>
    </row>
    <row r="24" ht="25.5" customHeight="1" s="70">
      <c r="B24" s="47" t="n"/>
      <c r="C24" s="47" t="n"/>
      <c r="D24" s="47" t="n"/>
      <c r="E24" s="47" t="inlineStr">
        <is>
          <t>다음 훈련</t>
        </is>
      </c>
      <c r="F24" s="71" t="n"/>
    </row>
    <row r="25" ht="25.5" customHeight="1" s="70">
      <c r="B25" s="47" t="n"/>
      <c r="C25" s="47" t="n"/>
      <c r="D25" s="47" t="n"/>
      <c r="E25" s="47" t="n"/>
    </row>
    <row r="26" ht="15.75" customHeight="1" s="70"/>
    <row r="27" ht="15.75" customHeight="1" s="70"/>
    <row r="28" ht="15.75" customHeight="1" s="70"/>
    <row r="29" ht="15.75" customHeight="1" s="70"/>
    <row r="30" ht="15.75" customHeight="1" s="70"/>
    <row r="31" ht="15.75" customHeight="1" s="70"/>
    <row r="32" ht="15.75" customHeight="1" s="70"/>
    <row r="33" ht="15.75" customHeight="1" s="70"/>
    <row r="34" ht="15.75" customHeight="1" s="70"/>
    <row r="35" ht="15.75" customHeight="1" s="70"/>
    <row r="36" ht="15.75" customHeight="1" s="70"/>
    <row r="37" ht="15.75" customHeight="1" s="70"/>
    <row r="38" ht="15.75" customHeight="1" s="70"/>
    <row r="39" ht="15.75" customHeight="1" s="70"/>
    <row r="40" ht="15.75" customHeight="1" s="70"/>
    <row r="41" ht="15.75" customHeight="1" s="70"/>
    <row r="42" ht="15.75" customHeight="1" s="70"/>
    <row r="43" ht="15.75" customHeight="1" s="70"/>
    <row r="44" ht="15.75" customHeight="1" s="70"/>
    <row r="45" ht="15.75" customHeight="1" s="70"/>
    <row r="46" ht="15.75" customHeight="1" s="70"/>
    <row r="47" ht="15.75" customHeight="1" s="70"/>
    <row r="48" ht="15.75" customHeight="1" s="70"/>
    <row r="49" ht="15.75" customHeight="1" s="70"/>
    <row r="50" ht="15.75" customHeight="1" s="70"/>
    <row r="51" ht="15.75" customHeight="1" s="70"/>
    <row r="52" ht="15.75" customHeight="1" s="70"/>
    <row r="53" ht="15.75" customHeight="1" s="70"/>
    <row r="54" ht="15.75" customHeight="1" s="70"/>
    <row r="55" ht="15.75" customHeight="1" s="70"/>
    <row r="56" ht="15.75" customHeight="1" s="70"/>
    <row r="57" ht="15.75" customHeight="1" s="70"/>
    <row r="58" ht="15.75" customHeight="1" s="70"/>
    <row r="59" ht="15.75" customHeight="1" s="70"/>
    <row r="60" ht="15.75" customHeight="1" s="70"/>
    <row r="61" ht="15.75" customHeight="1" s="70"/>
    <row r="62" ht="15.75" customHeight="1" s="70"/>
    <row r="63" ht="15.75" customHeight="1" s="70"/>
    <row r="64" ht="15.75" customHeight="1" s="70"/>
    <row r="65" ht="15.75" customHeight="1" s="70"/>
    <row r="66" ht="15.75" customHeight="1" s="70"/>
    <row r="67" ht="15.75" customHeight="1" s="70"/>
    <row r="68" ht="15.75" customHeight="1" s="70"/>
    <row r="69" ht="15.75" customHeight="1" s="70"/>
    <row r="70" ht="15.75" customHeight="1" s="70"/>
    <row r="71" ht="15.75" customHeight="1" s="70"/>
    <row r="72" ht="15.75" customHeight="1" s="70"/>
    <row r="73" ht="15.75" customHeight="1" s="70"/>
    <row r="74" ht="15.75" customHeight="1" s="70"/>
    <row r="75" ht="15.75" customHeight="1" s="70"/>
    <row r="76" ht="15.75" customHeight="1" s="70"/>
    <row r="77" ht="15.75" customHeight="1" s="70"/>
    <row r="78" ht="15.75" customHeight="1" s="70"/>
    <row r="79" ht="15.75" customHeight="1" s="70"/>
    <row r="80" ht="15.75" customHeight="1" s="70"/>
    <row r="81" ht="15.75" customHeight="1" s="70"/>
    <row r="82" ht="15.75" customHeight="1" s="70"/>
    <row r="83" ht="15.75" customHeight="1" s="70"/>
    <row r="84" ht="15.75" customHeight="1" s="70"/>
    <row r="85" ht="15.75" customHeight="1" s="70"/>
    <row r="86" ht="15.75" customHeight="1" s="70"/>
    <row r="87" ht="15.75" customHeight="1" s="70"/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5.75" customHeight="1" s="70"/>
    <row r="96" ht="15.75" customHeight="1" s="70"/>
    <row r="97" ht="15.75" customHeight="1" s="70"/>
    <row r="98" ht="15.75" customHeight="1" s="70"/>
    <row r="99" ht="15.75" customHeight="1" s="70"/>
    <row r="100" ht="15.75" customHeight="1" s="70"/>
    <row r="101" ht="15.75" customHeight="1" s="70"/>
    <row r="102" ht="15.75" customHeight="1" s="70"/>
    <row r="103" ht="15.75" customHeight="1" s="70"/>
    <row r="104" ht="15.75" customHeight="1" s="70"/>
    <row r="105" ht="15.75" customHeight="1" s="70"/>
    <row r="106" ht="15.75" customHeight="1" s="70"/>
    <row r="107" ht="15.75" customHeight="1" s="70"/>
    <row r="108" ht="15.75" customHeight="1" s="70"/>
    <row r="109" ht="15.75" customHeight="1" s="70"/>
    <row r="110" ht="15.75" customHeight="1" s="70"/>
    <row r="111" ht="15.75" customHeight="1" s="70"/>
    <row r="112" ht="15.75" customHeight="1" s="70"/>
    <row r="113" ht="15.75" customHeight="1" s="70"/>
    <row r="114" ht="15.75" customHeight="1" s="70"/>
    <row r="115" ht="15.75" customHeight="1" s="70"/>
    <row r="116" ht="15.75" customHeight="1" s="70"/>
    <row r="117" ht="15.75" customHeight="1" s="70"/>
    <row r="118" ht="15.75" customHeight="1" s="70"/>
    <row r="119" ht="15.75" customHeight="1" s="70"/>
    <row r="120" ht="15.75" customHeight="1" s="70"/>
    <row r="121" ht="15.75" customHeight="1" s="70"/>
    <row r="122" ht="15.75" customHeight="1" s="70"/>
    <row r="123" ht="15.75" customHeight="1" s="70"/>
    <row r="124" ht="15.75" customHeight="1" s="70"/>
    <row r="125" ht="15.75" customHeight="1" s="70"/>
    <row r="126" ht="15.75" customHeight="1" s="70"/>
    <row r="127" ht="15.75" customHeight="1" s="70"/>
    <row r="128" ht="15.75" customHeight="1" s="70"/>
    <row r="129" ht="15.75" customHeight="1" s="70"/>
    <row r="130" ht="15.75" customHeight="1" s="70"/>
    <row r="131" ht="15.75" customHeight="1" s="70"/>
    <row r="132" ht="15.75" customHeight="1" s="70"/>
    <row r="133" ht="15.75" customHeight="1" s="70"/>
    <row r="134" ht="15.75" customHeight="1" s="70"/>
    <row r="135" ht="15.75" customHeight="1" s="70"/>
    <row r="136" ht="15.75" customHeight="1" s="70"/>
    <row r="137" ht="15.75" customHeight="1" s="70"/>
    <row r="138" ht="15.75" customHeight="1" s="70"/>
    <row r="139" ht="15.75" customHeight="1" s="70"/>
    <row r="140" ht="15.75" customHeight="1" s="70"/>
    <row r="141" ht="15.75" customHeight="1" s="70"/>
    <row r="142" ht="15.75" customHeight="1" s="70"/>
    <row r="143" ht="15.75" customHeight="1" s="70"/>
    <row r="144" ht="15.75" customHeight="1" s="70"/>
    <row r="145" ht="15.75" customHeight="1" s="70"/>
    <row r="146" ht="15.75" customHeight="1" s="70"/>
    <row r="147" ht="15.75" customHeight="1" s="70"/>
    <row r="148" ht="15.75" customHeight="1" s="70"/>
    <row r="149" ht="15.75" customHeight="1" s="70"/>
    <row r="150" ht="15.75" customHeight="1" s="70"/>
    <row r="151" ht="15.75" customHeight="1" s="70"/>
    <row r="152" ht="15.75" customHeight="1" s="70"/>
    <row r="153" ht="15.75" customHeight="1" s="70"/>
    <row r="154" ht="15.75" customHeight="1" s="70"/>
    <row r="155" ht="15.75" customHeight="1" s="70"/>
    <row r="156" ht="15.75" customHeight="1" s="70"/>
    <row r="157" ht="15.75" customHeight="1" s="70"/>
    <row r="158" ht="15.75" customHeight="1" s="70"/>
    <row r="159" ht="15.75" customHeight="1" s="70"/>
    <row r="160" ht="15.75" customHeight="1" s="70"/>
    <row r="161" ht="15.75" customHeight="1" s="70"/>
    <row r="162" ht="15.75" customHeight="1" s="70"/>
    <row r="163" ht="15.75" customHeight="1" s="70"/>
    <row r="164" ht="15.75" customHeight="1" s="70"/>
    <row r="165" ht="15.75" customHeight="1" s="70"/>
    <row r="166" ht="15.75" customHeight="1" s="70"/>
    <row r="167" ht="15.75" customHeight="1" s="70"/>
    <row r="168" ht="15.75" customHeight="1" s="70"/>
    <row r="169" ht="15.75" customHeight="1" s="70"/>
    <row r="170" ht="15.75" customHeight="1" s="70"/>
    <row r="171" ht="15.75" customHeight="1" s="70"/>
    <row r="172" ht="15.75" customHeight="1" s="70"/>
    <row r="173" ht="15.75" customHeight="1" s="70"/>
    <row r="174" ht="15.75" customHeight="1" s="70"/>
    <row r="175" ht="15.75" customHeight="1" s="70"/>
    <row r="176" ht="15.75" customHeight="1" s="70"/>
    <row r="177" ht="15.75" customHeight="1" s="70"/>
    <row r="178" ht="15.75" customHeight="1" s="70"/>
    <row r="179" ht="15.75" customHeight="1" s="70"/>
    <row r="180" ht="15.75" customHeight="1" s="70"/>
    <row r="181" ht="15.75" customHeight="1" s="70"/>
    <row r="182" ht="15.75" customHeight="1" s="70"/>
    <row r="183" ht="15.75" customHeight="1" s="70"/>
    <row r="184" ht="15.75" customHeight="1" s="70"/>
    <row r="185" ht="15.75" customHeight="1" s="70"/>
    <row r="186" ht="15.75" customHeight="1" s="70"/>
    <row r="187" ht="15.75" customHeight="1" s="70"/>
    <row r="188" ht="15.75" customHeight="1" s="70"/>
    <row r="189" ht="15.75" customHeight="1" s="70"/>
    <row r="190" ht="15.75" customHeight="1" s="70"/>
    <row r="191" ht="15.75" customHeight="1" s="70"/>
    <row r="192" ht="15.75" customHeight="1" s="70"/>
    <row r="193" ht="15.75" customHeight="1" s="70"/>
    <row r="194" ht="15.75" customHeight="1" s="70"/>
    <row r="195" ht="15.75" customHeight="1" s="70"/>
    <row r="196" ht="15.75" customHeight="1" s="70"/>
    <row r="197" ht="15.75" customHeight="1" s="70"/>
    <row r="198" ht="15.75" customHeight="1" s="70"/>
    <row r="199" ht="15.75" customHeight="1" s="70"/>
    <row r="200" ht="15.75" customHeight="1" s="70"/>
    <row r="201" ht="15.75" customHeight="1" s="70"/>
    <row r="202" ht="15.75" customHeight="1" s="70"/>
    <row r="203" ht="15.75" customHeight="1" s="70"/>
    <row r="204" ht="15.75" customHeight="1" s="70"/>
    <row r="205" ht="15.75" customHeight="1" s="70"/>
    <row r="206" ht="15.75" customHeight="1" s="70"/>
    <row r="207" ht="15.75" customHeight="1" s="70"/>
    <row r="208" ht="15.75" customHeight="1" s="70"/>
    <row r="209" ht="15.75" customHeight="1" s="70"/>
    <row r="210" ht="15.75" customHeight="1" s="70"/>
    <row r="211" ht="15.75" customHeight="1" s="70"/>
    <row r="212" ht="15.75" customHeight="1" s="70"/>
    <row r="213" ht="15.75" customHeight="1" s="70"/>
    <row r="214" ht="15.75" customHeight="1" s="70"/>
    <row r="215" ht="15.75" customHeight="1" s="70"/>
    <row r="216" ht="15.75" customHeight="1" s="70"/>
    <row r="217" ht="15.75" customHeight="1" s="70"/>
    <row r="218" ht="15.75" customHeight="1" s="70"/>
    <row r="219" ht="15.75" customHeight="1" s="70"/>
    <row r="220" ht="15.75" customHeight="1" s="70"/>
    <row r="221" ht="15.75" customHeight="1" s="70"/>
    <row r="222" ht="15.75" customHeight="1" s="70"/>
    <row r="223" ht="15.75" customHeight="1" s="70"/>
    <row r="224" ht="15.75" customHeight="1" s="70"/>
    <row r="225" ht="15.75" customHeight="1" s="70"/>
    <row r="226" ht="15.75" customHeight="1" s="70"/>
    <row r="227" ht="15.75" customHeight="1" s="70"/>
    <row r="228" ht="15.75" customHeight="1" s="70"/>
    <row r="229" ht="15.75" customHeight="1" s="70"/>
    <row r="230" ht="15.75" customHeight="1" s="70"/>
    <row r="231" ht="15.75" customHeight="1" s="70"/>
    <row r="232" ht="15.75" customHeight="1" s="70"/>
    <row r="233" ht="15.75" customHeight="1" s="70"/>
    <row r="234" ht="15.75" customHeight="1" s="70"/>
    <row r="235" ht="15.75" customHeight="1" s="70"/>
    <row r="236" ht="15.75" customHeight="1" s="70"/>
    <row r="237" ht="15.75" customHeight="1" s="70"/>
    <row r="238" ht="15.75" customHeight="1" s="70"/>
    <row r="239" ht="15.75" customHeight="1" s="70"/>
    <row r="240" ht="15.75" customHeight="1" s="70"/>
    <row r="241" ht="15.75" customHeight="1" s="70"/>
    <row r="242" ht="15.75" customHeight="1" s="70"/>
    <row r="243" ht="15.75" customHeight="1" s="70"/>
    <row r="244" ht="15.75" customHeight="1" s="70"/>
    <row r="245" ht="15.75" customHeight="1" s="70"/>
    <row r="246" ht="15.75" customHeight="1" s="70"/>
    <row r="247" ht="15.75" customHeight="1" s="70"/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  <row r="994" ht="15.75" customHeight="1" s="70"/>
    <row r="995" ht="15.75" customHeight="1" s="70"/>
    <row r="996" ht="15.75" customHeight="1" s="70"/>
    <row r="997" ht="15.75" customHeight="1" s="70"/>
    <row r="998" ht="15.75" customHeight="1" s="70"/>
    <row r="999" ht="15.75" customHeight="1" s="70"/>
    <row r="1000" ht="15.75" customHeight="1" s="70"/>
  </sheetData>
  <mergeCells count="3">
    <mergeCell ref="F24:I25"/>
    <mergeCell ref="F18:I19"/>
    <mergeCell ref="F21:I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2026-10-23T06:33:26Z</dcterms:created>
  <dcterms:modified xmlns:dcterms="http://purl.org/dc/terms/" xmlns:xsi="http://www.w3.org/2001/XMLSchema-instance" xsi:type="dcterms:W3CDTF">2026-10-23T06:33:26Z</dcterms:modified>
</cp:coreProperties>
</file>